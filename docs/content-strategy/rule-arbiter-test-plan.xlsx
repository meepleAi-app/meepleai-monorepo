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Giochi" sheetId="1" state="visible" r:id="rId1"/>
    <sheet xmlns:r="http://schemas.openxmlformats.org/officeDocument/2006/relationships" name="Catan" sheetId="2" state="visible" r:id="rId2"/>
    <sheet xmlns:r="http://schemas.openxmlformats.org/officeDocument/2006/relationships" name="Ticket to Ride" sheetId="3" state="visible" r:id="rId3"/>
    <sheet xmlns:r="http://schemas.openxmlformats.org/officeDocument/2006/relationships" name="Carcassonne" sheetId="4" state="visible" r:id="rId4"/>
    <sheet xmlns:r="http://schemas.openxmlformats.org/officeDocument/2006/relationships" name="7 Wonders" sheetId="5" state="visible" r:id="rId5"/>
    <sheet xmlns:r="http://schemas.openxmlformats.org/officeDocument/2006/relationships" name="Azul" sheetId="6" state="visible" r:id="rId6"/>
    <sheet xmlns:r="http://schemas.openxmlformats.org/officeDocument/2006/relationships" name="Wingspan" sheetId="7" state="visible" r:id="rId7"/>
    <sheet xmlns:r="http://schemas.openxmlformats.org/officeDocument/2006/relationships" name="Pandemic" sheetId="8" state="visible" r:id="rId8"/>
    <sheet xmlns:r="http://schemas.openxmlformats.org/officeDocument/2006/relationships" name="Codenames" sheetId="9" state="visible" r:id="rId9"/>
    <sheet xmlns:r="http://schemas.openxmlformats.org/officeDocument/2006/relationships" name="Splendor" sheetId="10" state="visible" r:id="rId10"/>
    <sheet xmlns:r="http://schemas.openxmlformats.org/officeDocument/2006/relationships" name="King of Tokyo" sheetId="11" state="visible" r:id="rId11"/>
    <sheet xmlns:r="http://schemas.openxmlformats.org/officeDocument/2006/relationships" name="Gloomhaven" sheetId="12" state="visible" r:id="rId12"/>
    <sheet xmlns:r="http://schemas.openxmlformats.org/officeDocument/2006/relationships" name="Terraforming Mars" sheetId="13" state="visible" r:id="rId13"/>
    <sheet xmlns:r="http://schemas.openxmlformats.org/officeDocument/2006/relationships" name="Scythe" sheetId="14" state="visible" r:id="rId14"/>
    <sheet xmlns:r="http://schemas.openxmlformats.org/officeDocument/2006/relationships" name="Root" sheetId="15" state="visible" r:id="rId15"/>
    <sheet xmlns:r="http://schemas.openxmlformats.org/officeDocument/2006/relationships" name="Nemesis" sheetId="16" state="visible" r:id="rId16"/>
    <sheet xmlns:r="http://schemas.openxmlformats.org/officeDocument/2006/relationships" name="Ark Nova" sheetId="17" state="visible" r:id="rId17"/>
    <sheet xmlns:r="http://schemas.openxmlformats.org/officeDocument/2006/relationships" name="Agricola" sheetId="18" state="visible" r:id="rId18"/>
    <sheet xmlns:r="http://schemas.openxmlformats.org/officeDocument/2006/relationships" name="Spirit Island" sheetId="19" state="visible" r:id="rId19"/>
    <sheet xmlns:r="http://schemas.openxmlformats.org/officeDocument/2006/relationships" name="Everdell" sheetId="20" state="visible" r:id="rId20"/>
    <sheet xmlns:r="http://schemas.openxmlformats.org/officeDocument/2006/relationships" name="Dixit" sheetId="21" state="visible" r:id="rId21"/>
    <sheet xmlns:r="http://schemas.openxmlformats.org/officeDocument/2006/relationships" name="Mysterium" sheetId="22" state="visible" r:id="rId22"/>
    <sheet xmlns:r="http://schemas.openxmlformats.org/officeDocument/2006/relationships" name="Sagrada" sheetId="23" state="visible" r:id="rId23"/>
    <sheet xmlns:r="http://schemas.openxmlformats.org/officeDocument/2006/relationships" name="Viticulture" sheetId="24" state="visible" r:id="rId24"/>
    <sheet xmlns:r="http://schemas.openxmlformats.org/officeDocument/2006/relationships" name="Dominion" sheetId="25" state="visible" r:id="rId25"/>
    <sheet xmlns:r="http://schemas.openxmlformats.org/officeDocument/2006/relationships" name="Santorini" sheetId="26" state="visible" r:id="rId26"/>
    <sheet xmlns:r="http://schemas.openxmlformats.org/officeDocument/2006/relationships" name="Villainous" sheetId="27" state="visible" r:id="rId27"/>
    <sheet xmlns:r="http://schemas.openxmlformats.org/officeDocument/2006/relationships" name="Cascadia" sheetId="28" state="visible" r:id="rId28"/>
    <sheet xmlns:r="http://schemas.openxmlformats.org/officeDocument/2006/relationships" name="Brass Birmingham" sheetId="29" state="visible" r:id="rId29"/>
    <sheet xmlns:r="http://schemas.openxmlformats.org/officeDocument/2006/relationships" name="Clank!" sheetId="30" state="visible" r:id="rId30"/>
    <sheet xmlns:r="http://schemas.openxmlformats.org/officeDocument/2006/relationships" name="Photosynthesis" sheetId="31" state="visible" r:id="rId31"/>
  </sheets>
  <definedNames>
    <definedName name="_xlnm._FilterDatabase" localSheetId="0" hidden="1">'Catalogo Giochi'!$A$1:$I$31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2E86C1"/>
      <sz val="10"/>
      <u val="single"/>
    </font>
    <font>
      <name val="Calibri"/>
      <sz val="10"/>
    </font>
    <font>
      <name val="Calibri"/>
      <b val="1"/>
      <color rgb="001B4F72"/>
      <sz val="14"/>
    </font>
    <font>
      <i val="1"/>
      <color rgb="005D6D7E"/>
      <sz val="10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tan.com/understand-catan/game-rules" TargetMode="External" Id="rId1"/><Relationship Type="http://schemas.openxmlformats.org/officeDocument/2006/relationships/hyperlink" Target="https://cdn.svc.asmodee.net/production-asmodeeit/uploads/2022/09/T2R_Rules_IT.pdf" TargetMode="External" Id="rId2"/><Relationship Type="http://schemas.openxmlformats.org/officeDocument/2006/relationships/hyperlink" Target="https://images.zmangames.com/filer_public/d5/20/d5208d61-8583-478b-a06d-b49fc9cd7aaa/zm7810_carcassonne_rules.pdf" TargetMode="External" Id="rId3"/><Relationship Type="http://schemas.openxmlformats.org/officeDocument/2006/relationships/hyperlink" Target="https://www.rprod.com/en/games/7-wonders" TargetMode="External" Id="rId4"/><Relationship Type="http://schemas.openxmlformats.org/officeDocument/2006/relationships/hyperlink" Target="https://cdn.svc.asmodee.net/production-nextmove/uploads/sites/4/2024/06/EN_5211-Azul_Rules_24-04-02_compressed.pdf" TargetMode="External" Id="rId5"/><Relationship Type="http://schemas.openxmlformats.org/officeDocument/2006/relationships/hyperlink" Target="https://stonemaiergames.com/games/wingspan/rules/" TargetMode="External" Id="rId6"/><Relationship Type="http://schemas.openxmlformats.org/officeDocument/2006/relationships/hyperlink" Target="http://images-cdn.zmangames.com/us-east-1/filer_public/25/12/251252dd-1338-4f78-b90d-afe073c72363/zm7101_pandemic_rules.pdf" TargetMode="External" Id="rId7"/><Relationship Type="http://schemas.openxmlformats.org/officeDocument/2006/relationships/hyperlink" Target="https://czechgames.com/files/rules/codenames-rules-en.pdf" TargetMode="External" Id="rId8"/><Relationship Type="http://schemas.openxmlformats.org/officeDocument/2006/relationships/hyperlink" Target="https://cdn.svc.asmodee.net/production-asmodeeca/uploads/2025/06/SCSPL04EN_SPLENDOR_SNS_RULES_20241126.pdf" TargetMode="External" Id="rId9"/><Relationship Type="http://schemas.openxmlformats.org/officeDocument/2006/relationships/hyperlink" Target="https://iellogames.com/wp-content/uploads/2021/10/KOT_Rules_EN_11-2023_Light.pdf" TargetMode="External" Id="rId10"/><Relationship Type="http://schemas.openxmlformats.org/officeDocument/2006/relationships/hyperlink" Target="https://cephalofair.com/pages/gloomhaven" TargetMode="External" Id="rId11"/><Relationship Type="http://schemas.openxmlformats.org/officeDocument/2006/relationships/hyperlink" Target="https://fryxgames.se/wp-content/uploads/2023/04/TMRULESFINAL.pdf" TargetMode="External" Id="rId12"/><Relationship Type="http://schemas.openxmlformats.org/officeDocument/2006/relationships/hyperlink" Target="https://stonemaiergames.com/games/scythe/rules-and-print-play/" TargetMode="External" Id="rId13"/><Relationship Type="http://schemas.openxmlformats.org/officeDocument/2006/relationships/hyperlink" Target="https://ledergames.com/pages/resources" TargetMode="External" Id="rId14"/><Relationship Type="http://schemas.openxmlformats.org/officeDocument/2006/relationships/hyperlink" Target="https://awakenrealms.com/download" TargetMode="External" Id="rId15"/><Relationship Type="http://schemas.openxmlformats.org/officeDocument/2006/relationships/hyperlink" Target="https://www.feuerland-spiele.de/en/" TargetMode="External" Id="rId16"/><Relationship Type="http://schemas.openxmlformats.org/officeDocument/2006/relationships/hyperlink" Target="https://www.lookout-spiele.de/upload/en_agricolare.html_Rules_Agricola-RE_EN.pdf" TargetMode="External" Id="rId17"/><Relationship Type="http://schemas.openxmlformats.org/officeDocument/2006/relationships/hyperlink" Target="https://www.greaterthangames.com/products/spirit-island" TargetMode="External" Id="rId18"/><Relationship Type="http://schemas.openxmlformats.org/officeDocument/2006/relationships/hyperlink" Target="https://boardgamegeek.com/filepage/161327/everdell-official-rulebook" TargetMode="External" Id="rId19"/><Relationship Type="http://schemas.openxmlformats.org/officeDocument/2006/relationships/hyperlink" Target="https://www.libellud.com/en/resources/dixit/" TargetMode="External" Id="rId20"/><Relationship Type="http://schemas.openxmlformats.org/officeDocument/2006/relationships/hyperlink" Target="https://www.libellud.com/en/resources/mysterium/" TargetMode="External" Id="rId21"/><Relationship Type="http://schemas.openxmlformats.org/officeDocument/2006/relationships/hyperlink" Target="https://floodgategames.com/pages/sagrada-rules" TargetMode="External" Id="rId22"/><Relationship Type="http://schemas.openxmlformats.org/officeDocument/2006/relationships/hyperlink" Target="https://stonemaiergames.com/games/viticulture/rules/" TargetMode="External" Id="rId23"/><Relationship Type="http://schemas.openxmlformats.org/officeDocument/2006/relationships/hyperlink" Target="https://www.riograndegames.com/games/dominion/" TargetMode="External" Id="rId24"/><Relationship Type="http://schemas.openxmlformats.org/officeDocument/2006/relationships/hyperlink" Target="https://roxley.com/pages/santorini-resources" TargetMode="External" Id="rId25"/><Relationship Type="http://schemas.openxmlformats.org/officeDocument/2006/relationships/hyperlink" Target="https://www.ravensburger.org/products/games/family-games/disney-villainous" TargetMode="External" Id="rId26"/><Relationship Type="http://schemas.openxmlformats.org/officeDocument/2006/relationships/hyperlink" Target="https://flatoutgames.com/cascadia" TargetMode="External" Id="rId27"/><Relationship Type="http://schemas.openxmlformats.org/officeDocument/2006/relationships/hyperlink" Target="https://roxley.com/pages/brass-birmingham-resources" TargetMode="External" Id="rId28"/><Relationship Type="http://schemas.openxmlformats.org/officeDocument/2006/relationships/hyperlink" Target="https://www.renegadegamestudios.com/clank" TargetMode="External" Id="rId29"/><Relationship Type="http://schemas.openxmlformats.org/officeDocument/2006/relationships/hyperlink" Target="https://www.blueorangegames.com/games/photosynthesis" TargetMode="External" Id="rId30"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8" customWidth="1" min="4" max="4"/>
    <col width="12" customWidth="1" min="5" max="5"/>
    <col width="50" customWidth="1" min="6" max="6"/>
    <col width="52" customWidth="1" min="7" max="7"/>
    <col width="14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Gioco</t>
        </is>
      </c>
      <c r="C1" s="1" t="inlineStr">
        <is>
          <t>Complessita</t>
        </is>
      </c>
      <c r="D1" s="1" t="inlineStr">
        <is>
          <t>Publisher</t>
        </is>
      </c>
      <c r="E1" s="1" t="inlineStr">
        <is>
          <t>PDF Lingua</t>
        </is>
      </c>
      <c r="F1" s="1" t="inlineStr">
        <is>
          <t>URL Regolamento Ufficiale</t>
        </is>
      </c>
      <c r="G1" s="1" t="inlineStr">
        <is>
          <t>Note Legali</t>
        </is>
      </c>
      <c r="H1" s="1" t="inlineStr">
        <is>
          <t>Stato RAG</t>
        </is>
      </c>
      <c r="I1" s="1" t="inlineStr">
        <is>
          <t>Qualita RAG</t>
        </is>
      </c>
    </row>
    <row r="2">
      <c r="A2" s="2" t="n">
        <v>1</v>
      </c>
      <c r="B2" s="3" t="inlineStr">
        <is>
          <t>Catan</t>
        </is>
      </c>
      <c r="C2" s="2" t="inlineStr">
        <is>
          <t>Media</t>
        </is>
      </c>
      <c r="D2" s="3" t="inlineStr">
        <is>
          <t>Catan Studio</t>
        </is>
      </c>
      <c r="E2" s="2" t="inlineStr">
        <is>
          <t>EN</t>
        </is>
      </c>
      <c r="F2" s="3" t="inlineStr">
        <is>
          <t>https://www.catan.com/understand-catan/game-rules</t>
        </is>
      </c>
      <c r="G2" s="3" t="inlineStr">
        <is>
          <t>PDF gratuito, "feel free to download". Solo EN/DE.</t>
        </is>
      </c>
      <c r="H2" s="2" t="inlineStr">
        <is>
          <t>Da caricare</t>
        </is>
      </c>
      <c r="I2" s="3" t="inlineStr"/>
    </row>
    <row r="3">
      <c r="A3" s="2" t="n">
        <v>2</v>
      </c>
      <c r="B3" s="3" t="inlineStr">
        <is>
          <t>Ticket to Ride</t>
        </is>
      </c>
      <c r="C3" s="2" t="inlineStr">
        <is>
          <t>Bassa</t>
        </is>
      </c>
      <c r="D3" s="3" t="inlineStr">
        <is>
          <t>Days of Wonder / Asmodee</t>
        </is>
      </c>
      <c r="E3" s="2" t="inlineStr">
        <is>
          <t>EN + IT</t>
        </is>
      </c>
      <c r="F3" s="3" t="inlineStr">
        <is>
          <t>https://cdn.svc.asmodee.net/production-asmodeeit/uploads/2022/09/T2R_Rules_IT.pdf</t>
        </is>
      </c>
      <c r="G3" s="3" t="inlineStr">
        <is>
          <t>PDF IT disponibile su Asmodee CDN.</t>
        </is>
      </c>
      <c r="H3" s="2" t="inlineStr">
        <is>
          <t>Da caricare</t>
        </is>
      </c>
      <c r="I3" s="3" t="inlineStr"/>
    </row>
    <row r="4">
      <c r="A4" s="2" t="n">
        <v>3</v>
      </c>
      <c r="B4" s="3" t="inlineStr">
        <is>
          <t>Carcassonne</t>
        </is>
      </c>
      <c r="C4" s="2" t="inlineStr">
        <is>
          <t>Bassa-Media</t>
        </is>
      </c>
      <c r="D4" s="3" t="inlineStr">
        <is>
          <t>Hans im Gluck / Z-Man</t>
        </is>
      </c>
      <c r="E4" s="2" t="inlineStr">
        <is>
          <t>EN</t>
        </is>
      </c>
      <c r="F4" s="3" t="inlineStr">
        <is>
          <t>https://images.zmangames.com/filer_public/d5/20/d5208d61-8583-478b-a06d-b49fc9cd7aaa/zm7810_carcassonne_rules.pdf</t>
        </is>
      </c>
      <c r="G4" s="3" t="inlineStr">
        <is>
          <t>PDF EN ufficiale Z-Man. Demo IT su giochiuniti.it.</t>
        </is>
      </c>
      <c r="H4" s="2" t="inlineStr">
        <is>
          <t>Da caricare</t>
        </is>
      </c>
      <c r="I4" s="3" t="inlineStr"/>
    </row>
    <row r="5">
      <c r="A5" s="2" t="n">
        <v>4</v>
      </c>
      <c r="B5" s="3" t="inlineStr">
        <is>
          <t>7 Wonders</t>
        </is>
      </c>
      <c r="C5" s="2" t="inlineStr">
        <is>
          <t>Media</t>
        </is>
      </c>
      <c r="D5" s="3" t="inlineStr">
        <is>
          <t>Repos Production / Asmodee</t>
        </is>
      </c>
      <c r="E5" s="2" t="inlineStr">
        <is>
          <t>EN + IT</t>
        </is>
      </c>
      <c r="F5" s="3" t="inlineStr">
        <is>
          <t>https://www.rprod.com/en/games/7-wonders</t>
        </is>
      </c>
      <c r="G5" s="3" t="inlineStr">
        <is>
          <t>PDF in 10 lingue incluso IT nella sezione Downloads.</t>
        </is>
      </c>
      <c r="H5" s="2" t="inlineStr">
        <is>
          <t>Da caricare</t>
        </is>
      </c>
      <c r="I5" s="3" t="inlineStr"/>
    </row>
    <row r="6">
      <c r="A6" s="2" t="n">
        <v>5</v>
      </c>
      <c r="B6" s="3" t="inlineStr">
        <is>
          <t>Azul</t>
        </is>
      </c>
      <c r="C6" s="2" t="inlineStr">
        <is>
          <t>Bassa</t>
        </is>
      </c>
      <c r="D6" s="3" t="inlineStr">
        <is>
          <t>Plan B / Next Move / Asmodee</t>
        </is>
      </c>
      <c r="E6" s="2" t="inlineStr">
        <is>
          <t>EN</t>
        </is>
      </c>
      <c r="F6" s="3" t="inlineStr">
        <is>
          <t>https://cdn.svc.asmodee.net/production-nextmove/uploads/sites/4/2024/06/EN_5211-Azul_Rules_24-04-02_compressed.pdf</t>
        </is>
      </c>
      <c r="G6" s="3" t="inlineStr">
        <is>
          <t>PDF EN su Asmodee CDN.</t>
        </is>
      </c>
      <c r="H6" s="2" t="inlineStr">
        <is>
          <t>Da caricare</t>
        </is>
      </c>
      <c r="I6" s="3" t="inlineStr"/>
    </row>
    <row r="7">
      <c r="A7" s="2" t="n">
        <v>6</v>
      </c>
      <c r="B7" s="3" t="inlineStr">
        <is>
          <t>Wingspan</t>
        </is>
      </c>
      <c r="C7" s="2" t="inlineStr">
        <is>
          <t>Media</t>
        </is>
      </c>
      <c r="D7" s="3" t="inlineStr">
        <is>
          <t>Stonemaier Games</t>
        </is>
      </c>
      <c r="E7" s="2" t="inlineStr">
        <is>
          <t>EN</t>
        </is>
      </c>
      <c r="F7" s="3" t="inlineStr">
        <is>
          <t>https://stonemaiergames.com/games/wingspan/rules/</t>
        </is>
      </c>
      <c r="G7" s="3" t="inlineStr">
        <is>
          <t>PDF via Dropbox. Termini: "personal use only, no resale".</t>
        </is>
      </c>
      <c r="H7" s="2" t="inlineStr">
        <is>
          <t>Da caricare</t>
        </is>
      </c>
      <c r="I7" s="3" t="inlineStr"/>
    </row>
    <row r="8">
      <c r="A8" s="2" t="n">
        <v>7</v>
      </c>
      <c r="B8" s="3" t="inlineStr">
        <is>
          <t>Pandemic</t>
        </is>
      </c>
      <c r="C8" s="2" t="inlineStr">
        <is>
          <t>Media</t>
        </is>
      </c>
      <c r="D8" s="3" t="inlineStr">
        <is>
          <t>Z-Man Games / Asmodee</t>
        </is>
      </c>
      <c r="E8" s="2" t="inlineStr">
        <is>
          <t>EN</t>
        </is>
      </c>
      <c r="F8" s="3" t="inlineStr">
        <is>
          <t>http://images-cdn.zmangames.com/us-east-1/filer_public/25/12/251252dd-1338-4f78-b90d-afe073c72363/zm7101_pandemic_rules.pdf</t>
        </is>
      </c>
      <c r="G8" s="3" t="inlineStr">
        <is>
          <t>PDF EN ufficiale Z-Man.</t>
        </is>
      </c>
      <c r="H8" s="2" t="inlineStr">
        <is>
          <t>Da caricare</t>
        </is>
      </c>
      <c r="I8" s="3" t="inlineStr"/>
    </row>
    <row r="9">
      <c r="A9" s="2" t="n">
        <v>8</v>
      </c>
      <c r="B9" s="3" t="inlineStr">
        <is>
          <t>Codenames</t>
        </is>
      </c>
      <c r="C9" s="2" t="inlineStr">
        <is>
          <t>Bassa</t>
        </is>
      </c>
      <c r="D9" s="3" t="inlineStr">
        <is>
          <t>Czech Games Edition</t>
        </is>
      </c>
      <c r="E9" s="2" t="inlineStr">
        <is>
          <t>EN</t>
        </is>
      </c>
      <c r="F9" s="3" t="inlineStr">
        <is>
          <t>https://czechgames.com/files/rules/codenames-rules-en.pdf</t>
        </is>
      </c>
      <c r="G9" s="3" t="inlineStr">
        <is>
          <t>PDF EN su pagina downloads ufficiale.</t>
        </is>
      </c>
      <c r="H9" s="2" t="inlineStr">
        <is>
          <t>Da caricare</t>
        </is>
      </c>
      <c r="I9" s="3" t="inlineStr"/>
    </row>
    <row r="10">
      <c r="A10" s="2" t="n">
        <v>9</v>
      </c>
      <c r="B10" s="3" t="inlineStr">
        <is>
          <t>Splendor</t>
        </is>
      </c>
      <c r="C10" s="2" t="inlineStr">
        <is>
          <t>Bassa</t>
        </is>
      </c>
      <c r="D10" s="3" t="inlineStr">
        <is>
          <t>Space Cowboys / Asmodee</t>
        </is>
      </c>
      <c r="E10" s="2" t="inlineStr">
        <is>
          <t>EN</t>
        </is>
      </c>
      <c r="F10" s="3" t="inlineStr">
        <is>
          <t>https://cdn.svc.asmodee.net/production-asmodeeca/uploads/2025/06/SCSPL04EN_SPLENDOR_SNS_RULES_20241126.pdf</t>
        </is>
      </c>
      <c r="G10" s="3" t="inlineStr">
        <is>
          <t>PDF EN su Asmodee CDN.</t>
        </is>
      </c>
      <c r="H10" s="2" t="inlineStr">
        <is>
          <t>Da caricare</t>
        </is>
      </c>
      <c r="I10" s="3" t="inlineStr"/>
    </row>
    <row r="11">
      <c r="A11" s="2" t="n">
        <v>10</v>
      </c>
      <c r="B11" s="3" t="inlineStr">
        <is>
          <t>King of Tokyo</t>
        </is>
      </c>
      <c r="C11" s="2" t="inlineStr">
        <is>
          <t>Bassa</t>
        </is>
      </c>
      <c r="D11" s="3" t="inlineStr">
        <is>
          <t>Iello</t>
        </is>
      </c>
      <c r="E11" s="2" t="inlineStr">
        <is>
          <t>EN</t>
        </is>
      </c>
      <c r="F11" s="3" t="inlineStr">
        <is>
          <t>https://iellogames.com/wp-content/uploads/2021/10/KOT_Rules_EN_11-2023_Light.pdf</t>
        </is>
      </c>
      <c r="G11" s="3" t="inlineStr">
        <is>
          <t>PDF EN su sito Iello.</t>
        </is>
      </c>
      <c r="H11" s="2" t="inlineStr">
        <is>
          <t>Da caricare</t>
        </is>
      </c>
      <c r="I11" s="3" t="inlineStr"/>
    </row>
    <row r="12">
      <c r="A12" s="2" t="n">
        <v>11</v>
      </c>
      <c r="B12" s="3" t="inlineStr">
        <is>
          <t>Gloomhaven</t>
        </is>
      </c>
      <c r="C12" s="2" t="inlineStr">
        <is>
          <t>Alta</t>
        </is>
      </c>
      <c r="D12" s="3" t="inlineStr">
        <is>
          <t>Cephalofair Games</t>
        </is>
      </c>
      <c r="E12" s="2" t="inlineStr">
        <is>
          <t>EN</t>
        </is>
      </c>
      <c r="F12" s="3" t="inlineStr">
        <is>
          <t>https://cephalofair.com/pages/gloomhaven</t>
        </is>
      </c>
      <c r="G12" s="3" t="inlineStr">
        <is>
          <t>PDF EN su sito ufficiale. Living rules su GitHub.</t>
        </is>
      </c>
      <c r="H12" s="2" t="inlineStr">
        <is>
          <t>Da caricare</t>
        </is>
      </c>
      <c r="I12" s="3" t="inlineStr"/>
    </row>
    <row r="13">
      <c r="A13" s="2" t="n">
        <v>12</v>
      </c>
      <c r="B13" s="3" t="inlineStr">
        <is>
          <t>Terraforming Mars</t>
        </is>
      </c>
      <c r="C13" s="2" t="inlineStr">
        <is>
          <t>Media-Alta</t>
        </is>
      </c>
      <c r="D13" s="3" t="inlineStr">
        <is>
          <t>FryxGames</t>
        </is>
      </c>
      <c r="E13" s="2" t="inlineStr">
        <is>
          <t>EN</t>
        </is>
      </c>
      <c r="F13" s="3" t="inlineStr">
        <is>
          <t>https://fryxgames.se/wp-content/uploads/2023/04/TMRULESFINAL.pdf</t>
        </is>
      </c>
      <c r="G13" s="3" t="inlineStr">
        <is>
          <t>PDF EN/SE su sito ufficiale.</t>
        </is>
      </c>
      <c r="H13" s="2" t="inlineStr">
        <is>
          <t>Da caricare</t>
        </is>
      </c>
      <c r="I13" s="3" t="inlineStr"/>
    </row>
    <row r="14">
      <c r="A14" s="2" t="n">
        <v>13</v>
      </c>
      <c r="B14" s="3" t="inlineStr">
        <is>
          <t>Scythe</t>
        </is>
      </c>
      <c r="C14" s="2" t="inlineStr">
        <is>
          <t>Media-Alta</t>
        </is>
      </c>
      <c r="D14" s="3" t="inlineStr">
        <is>
          <t>Stonemaier Games</t>
        </is>
      </c>
      <c r="E14" s="2" t="inlineStr">
        <is>
          <t>EN</t>
        </is>
      </c>
      <c r="F14" s="3" t="inlineStr">
        <is>
          <t>https://stonemaiergames.com/games/scythe/rules-and-print-play/</t>
        </is>
      </c>
      <c r="G14" s="3" t="inlineStr">
        <is>
          <t>PDF via Dropbox. Termini: "personal use only, no resale".</t>
        </is>
      </c>
      <c r="H14" s="2" t="inlineStr">
        <is>
          <t>Da caricare</t>
        </is>
      </c>
      <c r="I14" s="3" t="inlineStr"/>
    </row>
    <row r="15">
      <c r="A15" s="2" t="n">
        <v>14</v>
      </c>
      <c r="B15" s="3" t="inlineStr">
        <is>
          <t>Root</t>
        </is>
      </c>
      <c r="C15" s="2" t="inlineStr">
        <is>
          <t>Media-Alta</t>
        </is>
      </c>
      <c r="D15" s="3" t="inlineStr">
        <is>
          <t>Leder Games</t>
        </is>
      </c>
      <c r="E15" s="2" t="inlineStr">
        <is>
          <t>EN</t>
        </is>
      </c>
      <c r="F15" s="3" t="inlineStr">
        <is>
          <t>https://ledergames.com/pages/resources</t>
        </is>
      </c>
      <c r="G15" s="3" t="inlineStr">
        <is>
          <t>PDF EN. Living rules su root.livingrules.io.</t>
        </is>
      </c>
      <c r="H15" s="2" t="inlineStr">
        <is>
          <t>Da caricare</t>
        </is>
      </c>
      <c r="I15" s="3" t="inlineStr"/>
    </row>
    <row r="16">
      <c r="A16" s="2" t="n">
        <v>15</v>
      </c>
      <c r="B16" s="3" t="inlineStr">
        <is>
          <t>Nemesis</t>
        </is>
      </c>
      <c r="C16" s="2" t="inlineStr">
        <is>
          <t>Alta</t>
        </is>
      </c>
      <c r="D16" s="3" t="inlineStr">
        <is>
          <t>Awaken Realms</t>
        </is>
      </c>
      <c r="E16" s="2" t="inlineStr">
        <is>
          <t>EN + IT</t>
        </is>
      </c>
      <c r="F16" s="3" t="inlineStr">
        <is>
          <t>https://awakenrealms.com/download</t>
        </is>
      </c>
      <c r="G16" s="3" t="inlineStr">
        <is>
          <t>PDF EN + IT confermato su pagina download.</t>
        </is>
      </c>
      <c r="H16" s="2" t="inlineStr">
        <is>
          <t>Da caricare</t>
        </is>
      </c>
      <c r="I16" s="3" t="inlineStr"/>
    </row>
    <row r="17">
      <c r="A17" s="2" t="n">
        <v>16</v>
      </c>
      <c r="B17" s="3" t="inlineStr">
        <is>
          <t>Ark Nova</t>
        </is>
      </c>
      <c r="C17" s="2" t="inlineStr">
        <is>
          <t>Media-Alta</t>
        </is>
      </c>
      <c r="D17" s="3" t="inlineStr">
        <is>
          <t>Feuerland Spiele</t>
        </is>
      </c>
      <c r="E17" s="2" t="inlineStr">
        <is>
          <t>EN</t>
        </is>
      </c>
      <c r="F17" s="3" t="inlineStr">
        <is>
          <t>https://www.feuerland-spiele.de/en/</t>
        </is>
      </c>
      <c r="G17" s="3" t="inlineStr">
        <is>
          <t>PDF EN su homepage. IT non confermato.</t>
        </is>
      </c>
      <c r="H17" s="2" t="inlineStr">
        <is>
          <t>Da caricare</t>
        </is>
      </c>
      <c r="I17" s="3" t="inlineStr"/>
    </row>
    <row r="18">
      <c r="A18" s="2" t="n">
        <v>17</v>
      </c>
      <c r="B18" s="3" t="inlineStr">
        <is>
          <t>Agricola</t>
        </is>
      </c>
      <c r="C18" s="2" t="inlineStr">
        <is>
          <t>Media-Alta</t>
        </is>
      </c>
      <c r="D18" s="3" t="inlineStr">
        <is>
          <t>Lookout Games</t>
        </is>
      </c>
      <c r="E18" s="2" t="inlineStr">
        <is>
          <t>EN</t>
        </is>
      </c>
      <c r="F18" s="3" t="inlineStr">
        <is>
          <t>https://www.lookout-spiele.de/upload/en_agricolare.html_Rules_Agricola-RE_EN.pdf</t>
        </is>
      </c>
      <c r="G18" s="3" t="inlineStr">
        <is>
          <t>PDF EN Revised Edition.</t>
        </is>
      </c>
      <c r="H18" s="2" t="inlineStr">
        <is>
          <t>Da caricare</t>
        </is>
      </c>
      <c r="I18" s="3" t="inlineStr"/>
    </row>
    <row r="19">
      <c r="A19" s="2" t="n">
        <v>18</v>
      </c>
      <c r="B19" s="3" t="inlineStr">
        <is>
          <t>Spirit Island</t>
        </is>
      </c>
      <c r="C19" s="2" t="inlineStr">
        <is>
          <t>Alta</t>
        </is>
      </c>
      <c r="D19" s="3" t="inlineStr">
        <is>
          <t>Greater Than Games</t>
        </is>
      </c>
      <c r="E19" s="2" t="inlineStr">
        <is>
          <t>EN</t>
        </is>
      </c>
      <c r="F19" s="3" t="inlineStr">
        <is>
          <t>https://www.greaterthangames.com/products/spirit-island</t>
        </is>
      </c>
      <c r="G19" s="3" t="inlineStr">
        <is>
          <t>PDF EN via Dropbox. Termini: "print for personal use".</t>
        </is>
      </c>
      <c r="H19" s="2" t="inlineStr">
        <is>
          <t>Da caricare</t>
        </is>
      </c>
      <c r="I19" s="3" t="inlineStr"/>
    </row>
    <row r="20">
      <c r="A20" s="2" t="n">
        <v>19</v>
      </c>
      <c r="B20" s="3" t="inlineStr">
        <is>
          <t>Everdell</t>
        </is>
      </c>
      <c r="C20" s="2" t="inlineStr">
        <is>
          <t>Media</t>
        </is>
      </c>
      <c r="D20" s="3" t="inlineStr">
        <is>
          <t>Starling Games</t>
        </is>
      </c>
      <c r="E20" s="2" t="inlineStr">
        <is>
          <t>EN</t>
        </is>
      </c>
      <c r="F20" s="3" t="inlineStr">
        <is>
          <t>https://boardgamegeek.com/filepage/161327/everdell-official-rulebook</t>
        </is>
      </c>
      <c r="G20" s="3" t="inlineStr">
        <is>
          <t>PDF ufficiale caricato su BGG da publisher.</t>
        </is>
      </c>
      <c r="H20" s="2" t="inlineStr">
        <is>
          <t>Da caricare</t>
        </is>
      </c>
      <c r="I20" s="3" t="inlineStr"/>
    </row>
    <row r="21">
      <c r="A21" s="2" t="n">
        <v>20</v>
      </c>
      <c r="B21" s="3" t="inlineStr">
        <is>
          <t>Dixit</t>
        </is>
      </c>
      <c r="C21" s="2" t="inlineStr">
        <is>
          <t>Bassa</t>
        </is>
      </c>
      <c r="D21" s="3" t="inlineStr">
        <is>
          <t>Libellud / Asmodee</t>
        </is>
      </c>
      <c r="E21" s="2" t="inlineStr">
        <is>
          <t>EN</t>
        </is>
      </c>
      <c r="F21" s="3" t="inlineStr">
        <is>
          <t>https://www.libellud.com/en/resources/dixit/</t>
        </is>
      </c>
      <c r="G21" s="3" t="inlineStr">
        <is>
          <t>PDF EN su pagina risorse Libellud.</t>
        </is>
      </c>
      <c r="H21" s="2" t="inlineStr">
        <is>
          <t>Da caricare</t>
        </is>
      </c>
      <c r="I21" s="3" t="inlineStr"/>
    </row>
    <row r="22">
      <c r="A22" s="2" t="n">
        <v>21</v>
      </c>
      <c r="B22" s="3" t="inlineStr">
        <is>
          <t>Mysterium</t>
        </is>
      </c>
      <c r="C22" s="2" t="inlineStr">
        <is>
          <t>Bassa-Media</t>
        </is>
      </c>
      <c r="D22" s="3" t="inlineStr">
        <is>
          <t>Libellud / Asmodee</t>
        </is>
      </c>
      <c r="E22" s="2" t="inlineStr">
        <is>
          <t>EN</t>
        </is>
      </c>
      <c r="F22" s="3" t="inlineStr">
        <is>
          <t>https://www.libellud.com/en/resources/mysterium/</t>
        </is>
      </c>
      <c r="G22" s="3" t="inlineStr">
        <is>
          <t>PDF EN su risorse Libellud.</t>
        </is>
      </c>
      <c r="H22" s="2" t="inlineStr">
        <is>
          <t>Da caricare</t>
        </is>
      </c>
      <c r="I22" s="3" t="inlineStr"/>
    </row>
    <row r="23">
      <c r="A23" s="2" t="n">
        <v>22</v>
      </c>
      <c r="B23" s="3" t="inlineStr">
        <is>
          <t>Sagrada</t>
        </is>
      </c>
      <c r="C23" s="2" t="inlineStr">
        <is>
          <t>Bassa-Media</t>
        </is>
      </c>
      <c r="D23" s="3" t="inlineStr">
        <is>
          <t>Floodgate Games</t>
        </is>
      </c>
      <c r="E23" s="2" t="inlineStr">
        <is>
          <t>EN</t>
        </is>
      </c>
      <c r="F23" s="3" t="inlineStr">
        <is>
          <t>https://floodgategames.com/pages/sagrada-rules</t>
        </is>
      </c>
      <c r="G23" s="3" t="inlineStr">
        <is>
          <t>PDF EN su sito ufficiale.</t>
        </is>
      </c>
      <c r="H23" s="2" t="inlineStr">
        <is>
          <t>Da caricare</t>
        </is>
      </c>
      <c r="I23" s="3" t="inlineStr"/>
    </row>
    <row r="24">
      <c r="A24" s="2" t="n">
        <v>23</v>
      </c>
      <c r="B24" s="3" t="inlineStr">
        <is>
          <t>Viticulture</t>
        </is>
      </c>
      <c r="C24" s="2" t="inlineStr">
        <is>
          <t>Media</t>
        </is>
      </c>
      <c r="D24" s="3" t="inlineStr">
        <is>
          <t>Stonemaier Games</t>
        </is>
      </c>
      <c r="E24" s="2" t="inlineStr">
        <is>
          <t>EN</t>
        </is>
      </c>
      <c r="F24" s="3" t="inlineStr">
        <is>
          <t>https://stonemaiergames.com/games/viticulture/rules/</t>
        </is>
      </c>
      <c r="G24" s="3" t="inlineStr">
        <is>
          <t>PDF via Dropbox. Termini: "personal use only, no resale".</t>
        </is>
      </c>
      <c r="H24" s="2" t="inlineStr">
        <is>
          <t>Da caricare</t>
        </is>
      </c>
      <c r="I24" s="3" t="inlineStr"/>
    </row>
    <row r="25">
      <c r="A25" s="2" t="n">
        <v>24</v>
      </c>
      <c r="B25" s="3" t="inlineStr">
        <is>
          <t>Dominion</t>
        </is>
      </c>
      <c r="C25" s="2" t="inlineStr">
        <is>
          <t>Media</t>
        </is>
      </c>
      <c r="D25" s="3" t="inlineStr">
        <is>
          <t>Rio Grande Games</t>
        </is>
      </c>
      <c r="E25" s="2" t="inlineStr">
        <is>
          <t>EN</t>
        </is>
      </c>
      <c r="F25" s="3" t="inlineStr">
        <is>
          <t>https://www.riograndegames.com/games/dominion/</t>
        </is>
      </c>
      <c r="G25" s="3" t="inlineStr">
        <is>
          <t>PDF EN su sito ufficiale.</t>
        </is>
      </c>
      <c r="H25" s="2" t="inlineStr">
        <is>
          <t>Da caricare</t>
        </is>
      </c>
      <c r="I25" s="3" t="inlineStr"/>
    </row>
    <row r="26">
      <c r="A26" s="2" t="n">
        <v>25</v>
      </c>
      <c r="B26" s="3" t="inlineStr">
        <is>
          <t>Santorini</t>
        </is>
      </c>
      <c r="C26" s="2" t="inlineStr">
        <is>
          <t>Bassa</t>
        </is>
      </c>
      <c r="D26" s="3" t="inlineStr">
        <is>
          <t>Roxley / Spin Master</t>
        </is>
      </c>
      <c r="E26" s="2" t="inlineStr">
        <is>
          <t>EN</t>
        </is>
      </c>
      <c r="F26" s="3" t="inlineStr">
        <is>
          <t>https://roxley.com/pages/santorini-resources</t>
        </is>
      </c>
      <c r="G26" s="3" t="inlineStr">
        <is>
          <t>PDF EN su pagina risorse Roxley.</t>
        </is>
      </c>
      <c r="H26" s="2" t="inlineStr">
        <is>
          <t>Da caricare</t>
        </is>
      </c>
      <c r="I26" s="3" t="inlineStr"/>
    </row>
    <row r="27">
      <c r="A27" s="2" t="n">
        <v>26</v>
      </c>
      <c r="B27" s="3" t="inlineStr">
        <is>
          <t>Villainous</t>
        </is>
      </c>
      <c r="C27" s="2" t="inlineStr">
        <is>
          <t>Bassa-Media</t>
        </is>
      </c>
      <c r="D27" s="3" t="inlineStr">
        <is>
          <t>Ravensburger</t>
        </is>
      </c>
      <c r="E27" s="2" t="inlineStr">
        <is>
          <t>EN + IT</t>
        </is>
      </c>
      <c r="F27" s="3" t="inlineStr">
        <is>
          <t>https://www.ravensburger.org/products/games/family-games/disney-villainous</t>
        </is>
      </c>
      <c r="G27" s="3" t="inlineStr">
        <is>
          <t>PDF EN su sito Ravensburger. IT probabile via Ravensburger Italia.</t>
        </is>
      </c>
      <c r="H27" s="2" t="inlineStr">
        <is>
          <t>Da caricare</t>
        </is>
      </c>
      <c r="I27" s="3" t="inlineStr"/>
    </row>
    <row r="28">
      <c r="A28" s="2" t="n">
        <v>27</v>
      </c>
      <c r="B28" s="3" t="inlineStr">
        <is>
          <t>Cascadia</t>
        </is>
      </c>
      <c r="C28" s="2" t="inlineStr">
        <is>
          <t>Bassa</t>
        </is>
      </c>
      <c r="D28" s="3" t="inlineStr">
        <is>
          <t>Flatout Games / AEG</t>
        </is>
      </c>
      <c r="E28" s="2" t="inlineStr">
        <is>
          <t>EN</t>
        </is>
      </c>
      <c r="F28" s="3" t="inlineStr">
        <is>
          <t>https://flatoutgames.com/cascadia</t>
        </is>
      </c>
      <c r="G28" s="3" t="inlineStr">
        <is>
          <t>PDF EN su sito Flatout Games. Spiel des Jahres 2022.</t>
        </is>
      </c>
      <c r="H28" s="2" t="inlineStr">
        <is>
          <t>Da caricare</t>
        </is>
      </c>
      <c r="I28" s="3" t="inlineStr"/>
    </row>
    <row r="29">
      <c r="A29" s="2" t="n">
        <v>28</v>
      </c>
      <c r="B29" s="3" t="inlineStr">
        <is>
          <t>Brass Birmingham</t>
        </is>
      </c>
      <c r="C29" s="2" t="inlineStr">
        <is>
          <t>Alta</t>
        </is>
      </c>
      <c r="D29" s="3" t="inlineStr">
        <is>
          <t>Roxley Games</t>
        </is>
      </c>
      <c r="E29" s="2" t="inlineStr">
        <is>
          <t>EN</t>
        </is>
      </c>
      <c r="F29" s="3" t="inlineStr">
        <is>
          <t>https://roxley.com/pages/brass-birmingham-resources</t>
        </is>
      </c>
      <c r="G29" s="3" t="inlineStr">
        <is>
          <t>PDF EN su pagina risorse Roxley.</t>
        </is>
      </c>
      <c r="H29" s="2" t="inlineStr">
        <is>
          <t>Da caricare</t>
        </is>
      </c>
      <c r="I29" s="3" t="inlineStr"/>
    </row>
    <row r="30">
      <c r="A30" s="2" t="n">
        <v>29</v>
      </c>
      <c r="B30" s="3" t="inlineStr">
        <is>
          <t>Clank!</t>
        </is>
      </c>
      <c r="C30" s="2" t="inlineStr">
        <is>
          <t>Media</t>
        </is>
      </c>
      <c r="D30" s="3" t="inlineStr">
        <is>
          <t>Renegade Game Studios</t>
        </is>
      </c>
      <c r="E30" s="2" t="inlineStr">
        <is>
          <t>EN</t>
        </is>
      </c>
      <c r="F30" s="3" t="inlineStr">
        <is>
          <t>https://www.renegadegamestudios.com/clank</t>
        </is>
      </c>
      <c r="G30" s="3" t="inlineStr">
        <is>
          <t>PDF EN su sito Renegade.</t>
        </is>
      </c>
      <c r="H30" s="2" t="inlineStr">
        <is>
          <t>Da caricare</t>
        </is>
      </c>
      <c r="I30" s="3" t="inlineStr"/>
    </row>
    <row r="31">
      <c r="A31" s="2" t="n">
        <v>30</v>
      </c>
      <c r="B31" s="3" t="inlineStr">
        <is>
          <t>Photosynthesis</t>
        </is>
      </c>
      <c r="C31" s="2" t="inlineStr">
        <is>
          <t>Bassa-Media</t>
        </is>
      </c>
      <c r="D31" s="3" t="inlineStr">
        <is>
          <t>Blue Orange Games</t>
        </is>
      </c>
      <c r="E31" s="2" t="inlineStr">
        <is>
          <t>EN</t>
        </is>
      </c>
      <c r="F31" s="3" t="inlineStr">
        <is>
          <t>https://www.blueorangegames.com/games/photosynthesis</t>
        </is>
      </c>
      <c r="G31" s="3" t="inlineStr">
        <is>
          <t>PDF EN su sito Blue Orange.</t>
        </is>
      </c>
      <c r="H31" s="2" t="inlineStr">
        <is>
          <t>Da caricare</t>
        </is>
      </c>
      <c r="I31" s="3" t="inlineStr"/>
    </row>
    <row r="33">
      <c r="A33" s="4" t="inlineStr">
        <is>
          <t>Legenda Stato RAG:</t>
        </is>
      </c>
    </row>
    <row r="34">
      <c r="A34" s="4" t="inlineStr">
        <is>
          <t>Da caricare</t>
        </is>
      </c>
      <c r="B34" t="inlineStr">
        <is>
          <t>PDF non ancora nel pipeline</t>
        </is>
      </c>
    </row>
    <row r="35">
      <c r="A35" s="4" t="inlineStr">
        <is>
          <t>In elaborazione</t>
        </is>
      </c>
      <c r="B35" t="inlineStr">
        <is>
          <t>Pipeline in corso</t>
        </is>
      </c>
    </row>
    <row r="36">
      <c r="A36" s="4" t="inlineStr">
        <is>
          <t>Pronto</t>
        </is>
      </c>
      <c r="B36" t="inlineStr">
        <is>
          <t>Chunking + embedding ok</t>
        </is>
      </c>
    </row>
    <row r="37">
      <c r="A37" s="4" t="inlineStr">
        <is>
          <t>Testato</t>
        </is>
      </c>
      <c r="B37" t="inlineStr">
        <is>
          <t>Test eseguiti e validati</t>
        </is>
      </c>
    </row>
    <row r="39">
      <c r="A39" s="4" t="inlineStr">
        <is>
          <t>Legenda Esito:</t>
        </is>
      </c>
    </row>
    <row r="40">
      <c r="A40" s="4" t="inlineStr">
        <is>
          <t>OK</t>
        </is>
      </c>
      <c r="B40" t="inlineStr">
        <is>
          <t>Corretta e completa</t>
        </is>
      </c>
    </row>
    <row r="41">
      <c r="A41" s="4" t="inlineStr">
        <is>
          <t>Parziale</t>
        </is>
      </c>
      <c r="B41" t="inlineStr">
        <is>
          <t>Parzialmente corretta</t>
        </is>
      </c>
    </row>
    <row r="42">
      <c r="A42" s="4" t="inlineStr">
        <is>
          <t>KO</t>
        </is>
      </c>
      <c r="B42" t="inlineStr">
        <is>
          <t>Errata o fuorviante</t>
        </is>
      </c>
    </row>
    <row r="43">
      <c r="A43" s="4" t="inlineStr">
        <is>
          <t>N/T</t>
        </is>
      </c>
      <c r="B43" t="inlineStr">
        <is>
          <t>Non testato</t>
        </is>
      </c>
    </row>
    <row r="45">
      <c r="A45" s="4" t="inlineStr">
        <is>
          <t>Statistiche Catalogo:</t>
        </is>
      </c>
    </row>
    <row r="46">
      <c r="A46" t="inlineStr">
        <is>
          <t>Totale giochi:</t>
        </is>
      </c>
      <c r="B46">
        <f>COUNTA(B2:B31)</f>
        <v/>
      </c>
    </row>
    <row r="47">
      <c r="A47" t="inlineStr">
        <is>
          <t>Da caricare:</t>
        </is>
      </c>
      <c r="B47">
        <f>COUNTIF(H2:H31,"Da caricare")</f>
        <v/>
      </c>
    </row>
    <row r="48">
      <c r="A48" t="inlineStr">
        <is>
          <t>Testati:</t>
        </is>
      </c>
      <c r="B48">
        <f>COUNTIF(H2:H31,"Testato")</f>
        <v/>
      </c>
    </row>
    <row r="49">
      <c r="A49" t="inlineStr">
        <is>
          <t>Con PDF IT:</t>
        </is>
      </c>
      <c r="B49">
        <f>COUNTIF(E2:E31,"*IT*")</f>
        <v/>
      </c>
    </row>
  </sheetData>
  <autoFilter ref="A1:I3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Catan</t>
        </is>
      </c>
    </row>
    <row r="2">
      <c r="A2" s="6" t="inlineStr">
        <is>
          <t>Totale: 12 | Facili: 5 | Medie: 4 | Difficili: 3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Quante risorse servono per costruire una citta?</t>
        </is>
      </c>
      <c r="C4" s="8" t="inlineStr">
        <is>
          <t>3 minerali + 2 grano</t>
        </is>
      </c>
      <c r="D4" s="7" t="inlineStr">
        <is>
          <t>Facile</t>
        </is>
      </c>
      <c r="E4" s="7" t="inlineStr">
        <is>
          <t>Costruzione</t>
        </is>
      </c>
      <c r="F4" s="8" t="inlineStr"/>
      <c r="G4" s="7" t="inlineStr"/>
    </row>
    <row r="5">
      <c r="A5" s="7" t="n">
        <v>2</v>
      </c>
      <c r="B5" s="8" t="inlineStr">
        <is>
          <t>Posso commerciare con un giocatore durante il suo turno?</t>
        </is>
      </c>
      <c r="C5" s="8" t="inlineStr">
        <is>
          <t>Si, solo durante la fase commercio del giocatore attivo.</t>
        </is>
      </c>
      <c r="D5" s="7" t="inlineStr">
        <is>
          <t>Facile</t>
        </is>
      </c>
      <c r="E5" s="7" t="inlineStr">
        <is>
          <t>Commercio</t>
        </is>
      </c>
      <c r="F5" s="8" t="inlineStr"/>
      <c r="G5" s="7" t="inlineStr"/>
    </row>
    <row r="6">
      <c r="A6" s="7" t="n">
        <v>3</v>
      </c>
      <c r="B6" s="8" t="inlineStr">
        <is>
          <t>Cosa succede se il ladro e su un terreno e esce il numero?</t>
        </is>
      </c>
      <c r="C6" s="8" t="inlineStr">
        <is>
          <t>Il terreno non produce risorse per nessuno.</t>
        </is>
      </c>
      <c r="D6" s="7" t="inlineStr">
        <is>
          <t>Facile</t>
        </is>
      </c>
      <c r="E6" s="7" t="inlineStr">
        <is>
          <t>Ladro</t>
        </is>
      </c>
      <c r="F6" s="8" t="inlineStr"/>
      <c r="G6" s="7" t="inlineStr"/>
    </row>
    <row r="7">
      <c r="A7" s="7" t="n">
        <v>4</v>
      </c>
      <c r="B7" s="8" t="inlineStr">
        <is>
          <t>Quante carte sviluppo posso giocare per turno?</t>
        </is>
      </c>
      <c r="C7" s="8" t="inlineStr">
        <is>
          <t>Una sola. Non puo essere acquistata nello stesso turno.</t>
        </is>
      </c>
      <c r="D7" s="7" t="inlineStr">
        <is>
          <t>Facile</t>
        </is>
      </c>
      <c r="E7" s="7" t="inlineStr">
        <is>
          <t>Carte Sviluppo</t>
        </is>
      </c>
      <c r="F7" s="8" t="inlineStr"/>
      <c r="G7" s="7" t="inlineStr"/>
    </row>
    <row r="8">
      <c r="A8" s="7" t="n">
        <v>5</v>
      </c>
      <c r="B8" s="8" t="inlineStr">
        <is>
          <t>Se ho piu di 7 carte quando esce il 7, quante ne scarto?</t>
        </is>
      </c>
      <c r="C8" s="8" t="inlineStr">
        <is>
          <t>Meta arrotondata per difetto. 9 carte = scarti 4.</t>
        </is>
      </c>
      <c r="D8" s="7" t="inlineStr">
        <is>
          <t>Facile</t>
        </is>
      </c>
      <c r="E8" s="7" t="inlineStr">
        <is>
          <t>Ladro</t>
        </is>
      </c>
      <c r="F8" s="8" t="inlineStr"/>
      <c r="G8" s="7" t="inlineStr"/>
    </row>
    <row r="9">
      <c r="A9" s="9" t="n">
        <v>6</v>
      </c>
      <c r="B9" s="10" t="inlineStr">
        <is>
          <t>Posso costruire un insediamento tra due avversari distanti 1 intersezione?</t>
        </is>
      </c>
      <c r="C9" s="10" t="inlineStr">
        <is>
          <t>No. Regola della distanza: almeno 2 intersezioni da qualsiasi insediamento/citta.</t>
        </is>
      </c>
      <c r="D9" s="9" t="inlineStr">
        <is>
          <t>Media</t>
        </is>
      </c>
      <c r="E9" s="9" t="inlineStr">
        <is>
          <t>Costruzione</t>
        </is>
      </c>
      <c r="F9" s="10" t="inlineStr"/>
      <c r="G9" s="9" t="inlineStr"/>
    </row>
    <row r="10">
      <c r="A10" s="9" t="n">
        <v>7</v>
      </c>
      <c r="B10" s="10" t="inlineStr">
        <is>
          <t>Porto 2:1 grano: posso scambiare 2 grano per 1 qualsiasi?</t>
        </is>
      </c>
      <c r="C10" s="10" t="inlineStr">
        <is>
          <t>Si, il porto specializzato 2:1 lo permette.</t>
        </is>
      </c>
      <c r="D10" s="9" t="inlineStr">
        <is>
          <t>Media</t>
        </is>
      </c>
      <c r="E10" s="9" t="inlineStr">
        <is>
          <t>Commercio</t>
        </is>
      </c>
      <c r="F10" s="10" t="inlineStr"/>
      <c r="G10" s="9" t="inlineStr"/>
    </row>
    <row r="11">
      <c r="A11" s="9" t="n">
        <v>8</v>
      </c>
      <c r="B11" s="10" t="inlineStr">
        <is>
          <t>Posso costruire piu strutture nello stesso turno?</t>
        </is>
      </c>
      <c r="C11" s="10" t="inlineStr">
        <is>
          <t>Si, quante vuoi in qualsiasi ordine se hai le risorse.</t>
        </is>
      </c>
      <c r="D11" s="9" t="inlineStr">
        <is>
          <t>Media</t>
        </is>
      </c>
      <c r="E11" s="9" t="inlineStr">
        <is>
          <t>Costruzione</t>
        </is>
      </c>
      <c r="F11" s="10" t="inlineStr"/>
      <c r="G11" s="9" t="inlineStr"/>
    </row>
    <row r="12">
      <c r="A12" s="9" t="n">
        <v>9</v>
      </c>
      <c r="B12" s="10" t="inlineStr">
        <is>
          <t>Carta sviluppo giocabile nello stesso turno di acquisto?</t>
        </is>
      </c>
      <c r="C12" s="10" t="inlineStr">
        <is>
          <t>No, deve aspettare almeno il turno successivo.</t>
        </is>
      </c>
      <c r="D12" s="9" t="inlineStr">
        <is>
          <t>Media</t>
        </is>
      </c>
      <c r="E12" s="9" t="inlineStr">
        <is>
          <t>Carte Sviluppo</t>
        </is>
      </c>
      <c r="F12" s="10" t="inlineStr"/>
      <c r="G12" s="9" t="inlineStr"/>
    </row>
    <row r="13">
      <c r="A13" s="11" t="n">
        <v>10</v>
      </c>
      <c r="B13" s="12" t="inlineStr">
        <is>
          <t>Due giocatori con 5 strade: chi ha la carta Strada Piu Lunga?</t>
        </is>
      </c>
      <c r="C13" s="12" t="inlineStr">
        <is>
          <t>Il primo che raggiunge 5. Il secondo la ruba solo SUPERANDO il record.</t>
        </is>
      </c>
      <c r="D13" s="11" t="inlineStr">
        <is>
          <t>Difficile</t>
        </is>
      </c>
      <c r="E13" s="11" t="inlineStr">
        <is>
          <t>Strade</t>
        </is>
      </c>
      <c r="F13" s="12" t="inlineStr"/>
      <c r="G13" s="11" t="inlineStr"/>
    </row>
    <row r="14">
      <c r="A14" s="11" t="n">
        <v>11</v>
      </c>
      <c r="B14" s="12" t="inlineStr">
        <is>
          <t>La banca esaurisce un tipo di risorsa?</t>
        </is>
      </c>
      <c r="C14" s="12" t="inlineStr">
        <is>
          <t>Nessuno la riceve finche non viene restituita. 19 per tipo.</t>
        </is>
      </c>
      <c r="D14" s="11" t="inlineStr">
        <is>
          <t>Difficile</t>
        </is>
      </c>
      <c r="E14" s="11" t="inlineStr">
        <is>
          <t>Risorse</t>
        </is>
      </c>
      <c r="F14" s="12" t="inlineStr"/>
      <c r="G14" s="11" t="inlineStr"/>
    </row>
    <row r="15">
      <c r="A15" s="11" t="n">
        <v>12</v>
      </c>
      <c r="B15" s="12" t="inlineStr">
        <is>
          <t>Posso piazzare il ladro sul deserto?</t>
        </is>
      </c>
      <c r="C15" s="12" t="inlineStr">
        <is>
          <t>Si, su qualsiasi terreno incluso il deserto.</t>
        </is>
      </c>
      <c r="D15" s="11" t="inlineStr">
        <is>
          <t>Difficile</t>
        </is>
      </c>
      <c r="E15" s="11" t="inlineStr">
        <is>
          <t>Ladro</t>
        </is>
      </c>
      <c r="F15" s="12" t="inlineStr"/>
      <c r="G15" s="11" t="inlineStr"/>
    </row>
    <row r="17">
      <c r="A17" s="4" t="inlineStr">
        <is>
          <t>Riepilogo Test</t>
        </is>
      </c>
    </row>
    <row r="18">
      <c r="A18" s="4" t="inlineStr">
        <is>
          <t>Corrette:</t>
        </is>
      </c>
      <c r="B18">
        <f>COUNTIF(G4:G15,"OK")</f>
        <v/>
      </c>
    </row>
    <row r="19">
      <c r="A19" s="4" t="inlineStr">
        <is>
          <t>Parziali:</t>
        </is>
      </c>
      <c r="B19">
        <f>COUNTIF(G4:G15,"Parziale")</f>
        <v/>
      </c>
    </row>
    <row r="20">
      <c r="A20" s="4" t="inlineStr">
        <is>
          <t>Errate:</t>
        </is>
      </c>
      <c r="B20">
        <f>COUNTIF(G4:G15,"KO")</f>
        <v/>
      </c>
    </row>
    <row r="21">
      <c r="A21" s="4" t="inlineStr">
        <is>
          <t>Accuratezza:</t>
        </is>
      </c>
      <c r="B21" s="13">
        <f>IF(COUNTA(G4:G15)=0,"N/A",COUNTIF(G4:G15,"OK")/COUNTA(G4:G15))</f>
        <v/>
      </c>
    </row>
  </sheetData>
  <mergeCells count="2">
    <mergeCell ref="A2:G2"/>
    <mergeCell ref="A1:G1"/>
  </mergeCells>
  <dataValidations count="1">
    <dataValidation sqref="G4 G5 G6 G7 G8 G9 G10 G11 G12 G13 G14 G15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Ticket to Ride</t>
        </is>
      </c>
    </row>
    <row r="2">
      <c r="A2" s="6" t="inlineStr">
        <is>
          <t>Totale: 10 | Facili: 4 | Medie: 5 | Difficili: 1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Quante carte treno pesco all'inizio?</t>
        </is>
      </c>
      <c r="C4" s="8" t="inlineStr">
        <is>
          <t>4 carte treno.</t>
        </is>
      </c>
      <c r="D4" s="7" t="inlineStr">
        <is>
          <t>Facile</t>
        </is>
      </c>
      <c r="E4" s="7" t="inlineStr">
        <is>
          <t>Setup</t>
        </is>
      </c>
      <c r="F4" s="8" t="inlineStr"/>
      <c r="G4" s="7" t="inlineStr"/>
    </row>
    <row r="5">
      <c r="A5" s="7" t="n">
        <v>2</v>
      </c>
      <c r="B5" s="8" t="inlineStr">
        <is>
          <t>Quante azioni per turno?</t>
        </is>
      </c>
      <c r="C5" s="8" t="inlineStr">
        <is>
          <t>Esattamente 1: pescare carte, reclamare rotta, o pescare biglietti.</t>
        </is>
      </c>
      <c r="D5" s="7" t="inlineStr">
        <is>
          <t>Facile</t>
        </is>
      </c>
      <c r="E5" s="7" t="inlineStr">
        <is>
          <t>Turno</t>
        </is>
      </c>
      <c r="F5" s="8" t="inlineStr"/>
      <c r="G5" s="7" t="inlineStr"/>
    </row>
    <row r="6">
      <c r="A6" s="9" t="n">
        <v>3</v>
      </c>
      <c r="B6" s="10" t="inlineStr">
        <is>
          <t>Locomotiva scoperta come seconda carta?</t>
        </is>
      </c>
      <c r="C6" s="10" t="inlineStr">
        <is>
          <t>No. Locomotiva scoperta = unica pesca del turno.</t>
        </is>
      </c>
      <c r="D6" s="9" t="inlineStr">
        <is>
          <t>Media</t>
        </is>
      </c>
      <c r="E6" s="9" t="inlineStr">
        <is>
          <t>Carte</t>
        </is>
      </c>
      <c r="F6" s="10" t="inlineStr"/>
      <c r="G6" s="9" t="inlineStr"/>
    </row>
    <row r="7">
      <c r="A7" s="9" t="n">
        <v>4</v>
      </c>
      <c r="B7" s="10" t="inlineStr">
        <is>
          <t>Stessa rotta per due giocatori?</t>
        </is>
      </c>
      <c r="C7" s="10" t="inlineStr">
        <is>
          <t>A 2-3: una sola rotta doppia usabile. A 4-5: ciascuna linea da giocatori diversi.</t>
        </is>
      </c>
      <c r="D7" s="9" t="inlineStr">
        <is>
          <t>Media</t>
        </is>
      </c>
      <c r="E7" s="9" t="inlineStr">
        <is>
          <t>Rotte</t>
        </is>
      </c>
      <c r="F7" s="10" t="inlineStr"/>
      <c r="G7" s="9" t="inlineStr"/>
    </row>
    <row r="8">
      <c r="A8" s="7" t="n">
        <v>5</v>
      </c>
      <c r="B8" s="8" t="inlineStr">
        <is>
          <t>Biglietti non completati a fine partita?</t>
        </is>
      </c>
      <c r="C8" s="8" t="inlineStr">
        <is>
          <t>Perdi i punti indicati su ogni biglietto non completato.</t>
        </is>
      </c>
      <c r="D8" s="7" t="inlineStr">
        <is>
          <t>Facile</t>
        </is>
      </c>
      <c r="E8" s="7" t="inlineStr">
        <is>
          <t>Punteggio</t>
        </is>
      </c>
      <c r="F8" s="8" t="inlineStr"/>
      <c r="G8" s="7" t="inlineStr"/>
    </row>
    <row r="9">
      <c r="A9" s="9" t="n">
        <v>6</v>
      </c>
      <c r="B9" s="10" t="inlineStr">
        <is>
          <t>Quanti biglietti devo tenere?</t>
        </is>
      </c>
      <c r="C9" s="10" t="inlineStr">
        <is>
          <t>Peschi 3, tieni almeno 1.</t>
        </is>
      </c>
      <c r="D9" s="9" t="inlineStr">
        <is>
          <t>Media</t>
        </is>
      </c>
      <c r="E9" s="9" t="inlineStr">
        <is>
          <t>Biglietti</t>
        </is>
      </c>
      <c r="F9" s="10" t="inlineStr"/>
      <c r="G9" s="9" t="inlineStr"/>
    </row>
    <row r="10">
      <c r="A10" s="9" t="n">
        <v>7</v>
      </c>
      <c r="B10" s="10" t="inlineStr">
        <is>
          <t>Rotta piu lunga?</t>
        </is>
      </c>
      <c r="C10" s="10" t="inlineStr">
        <is>
          <t>Conta rotta continua piu lunga. Bonus 10 punti.</t>
        </is>
      </c>
      <c r="D10" s="9" t="inlineStr">
        <is>
          <t>Media</t>
        </is>
      </c>
      <c r="E10" s="9" t="inlineStr">
        <is>
          <t>Punteggio</t>
        </is>
      </c>
      <c r="F10" s="10" t="inlineStr"/>
      <c r="G10" s="9" t="inlineStr"/>
    </row>
    <row r="11">
      <c r="A11" s="9" t="n">
        <v>8</v>
      </c>
      <c r="B11" s="10" t="inlineStr">
        <is>
          <t>Carte colori diversi per una rotta?</t>
        </is>
      </c>
      <c r="C11" s="10" t="inlineStr">
        <is>
          <t>Tutte dello stesso colore + locomotive. Grigie: qualsiasi singolo colore.</t>
        </is>
      </c>
      <c r="D11" s="9" t="inlineStr">
        <is>
          <t>Media</t>
        </is>
      </c>
      <c r="E11" s="9" t="inlineStr">
        <is>
          <t>Rotte</t>
        </is>
      </c>
      <c r="F11" s="10" t="inlineStr"/>
      <c r="G11" s="9" t="inlineStr"/>
    </row>
    <row r="12">
      <c r="A12" s="7" t="n">
        <v>9</v>
      </c>
      <c r="B12" s="8" t="inlineStr">
        <is>
          <t>Quando finisce?</t>
        </is>
      </c>
      <c r="C12" s="8" t="inlineStr">
        <is>
          <t>2 o meno vagoni rimasti. Tutti giocano un ultimo turno.</t>
        </is>
      </c>
      <c r="D12" s="7" t="inlineStr">
        <is>
          <t>Facile</t>
        </is>
      </c>
      <c r="E12" s="7" t="inlineStr">
        <is>
          <t>Fine Partita</t>
        </is>
      </c>
      <c r="F12" s="8" t="inlineStr"/>
      <c r="G12" s="7" t="inlineStr"/>
    </row>
    <row r="13">
      <c r="A13" s="11" t="n">
        <v>10</v>
      </c>
      <c r="B13" s="12" t="inlineStr">
        <is>
          <t>Due rotte nello stesso turno?</t>
        </is>
      </c>
      <c r="C13" s="12" t="inlineStr">
        <is>
          <t>No. Una rotta = unica azione del turno.</t>
        </is>
      </c>
      <c r="D13" s="11" t="inlineStr">
        <is>
          <t>Difficile</t>
        </is>
      </c>
      <c r="E13" s="11" t="inlineStr">
        <is>
          <t>Rotte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Carcassonne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Meeple su tessera gia piazzata?</t>
        </is>
      </c>
      <c r="C4" s="8" t="inlineStr">
        <is>
          <t>No. Solo sulla tessera appena posizionata.</t>
        </is>
      </c>
      <c r="D4" s="7" t="inlineStr">
        <is>
          <t>Facile</t>
        </is>
      </c>
      <c r="E4" s="7" t="inlineStr">
        <is>
          <t>Meeple</t>
        </is>
      </c>
      <c r="F4" s="8" t="inlineStr"/>
      <c r="G4" s="7" t="inlineStr"/>
    </row>
    <row r="5">
      <c r="A5" s="7" t="n">
        <v>2</v>
      </c>
      <c r="B5" s="8" t="inlineStr">
        <is>
          <t>Quanti meeple ho?</t>
        </is>
      </c>
      <c r="C5" s="8" t="inlineStr">
        <is>
          <t>7 nel gioco base.</t>
        </is>
      </c>
      <c r="D5" s="7" t="inlineStr">
        <is>
          <t>Facile</t>
        </is>
      </c>
      <c r="E5" s="7" t="inlineStr">
        <is>
          <t>Setup</t>
        </is>
      </c>
      <c r="F5" s="8" t="inlineStr"/>
      <c r="G5" s="7" t="inlineStr"/>
    </row>
    <row r="6">
      <c r="A6" s="11" t="n">
        <v>3</v>
      </c>
      <c r="B6" s="12" t="inlineStr">
        <is>
          <t>Punteggio contadini?</t>
        </is>
      </c>
      <c r="C6" s="12" t="inlineStr">
        <is>
          <t>Solo a fine partita: 3 punti per citta completata adiacente alla campagna.</t>
        </is>
      </c>
      <c r="D6" s="11" t="inlineStr">
        <is>
          <t>Difficile</t>
        </is>
      </c>
      <c r="E6" s="11" t="inlineStr">
        <is>
          <t>Contadini</t>
        </is>
      </c>
      <c r="F6" s="12" t="inlineStr"/>
      <c r="G6" s="11" t="inlineStr"/>
    </row>
    <row r="7">
      <c r="A7" s="7" t="n">
        <v>4</v>
      </c>
      <c r="B7" s="8" t="inlineStr">
        <is>
          <t>Tessera che non combacia?</t>
        </is>
      </c>
      <c r="C7" s="8" t="inlineStr">
        <is>
          <t>No. Tutti i lati devono combaciare.</t>
        </is>
      </c>
      <c r="D7" s="7" t="inlineStr">
        <is>
          <t>Facile</t>
        </is>
      </c>
      <c r="E7" s="7" t="inlineStr">
        <is>
          <t>Piazzamento</t>
        </is>
      </c>
      <c r="F7" s="8" t="inlineStr"/>
      <c r="G7" s="7" t="inlineStr"/>
    </row>
    <row r="8">
      <c r="A8" s="9" t="n">
        <v>5</v>
      </c>
      <c r="B8" s="10" t="inlineStr">
        <is>
          <t>Due meeple nella stessa citta?</t>
        </is>
      </c>
      <c r="C8" s="10" t="inlineStr">
        <is>
          <t>Non direttamente. Strutture separate possono fondersi.</t>
        </is>
      </c>
      <c r="D8" s="9" t="inlineStr">
        <is>
          <t>Media</t>
        </is>
      </c>
      <c r="E8" s="9" t="inlineStr">
        <is>
          <t>Meeple</t>
        </is>
      </c>
      <c r="F8" s="10" t="inlineStr"/>
      <c r="G8" s="9" t="inlineStr"/>
    </row>
    <row r="9">
      <c r="A9" s="9" t="n">
        <v>6</v>
      </c>
      <c r="B9" s="10" t="inlineStr">
        <is>
          <t>Pari meeple in citta completata?</t>
        </is>
      </c>
      <c r="C9" s="10" t="inlineStr">
        <is>
          <t>Entrambi punteggio pieno. Non si divide.</t>
        </is>
      </c>
      <c r="D9" s="9" t="inlineStr">
        <is>
          <t>Media</t>
        </is>
      </c>
      <c r="E9" s="9" t="inlineStr">
        <is>
          <t>Punteggio</t>
        </is>
      </c>
      <c r="F9" s="10" t="inlineStr"/>
      <c r="G9" s="9" t="inlineStr"/>
    </row>
    <row r="10">
      <c r="A10" s="9" t="n">
        <v>7</v>
      </c>
      <c r="B10" s="10" t="inlineStr">
        <is>
          <t>Punti citta completata?</t>
        </is>
      </c>
      <c r="C10" s="10" t="inlineStr">
        <is>
          <t>2/tessera + 2/stemma. Incompleta: 1/tessera + 1/stemma.</t>
        </is>
      </c>
      <c r="D10" s="9" t="inlineStr">
        <is>
          <t>Media</t>
        </is>
      </c>
      <c r="E10" s="9" t="inlineStr">
        <is>
          <t>Punteggio</t>
        </is>
      </c>
      <c r="F10" s="10" t="inlineStr"/>
      <c r="G10" s="9" t="inlineStr"/>
    </row>
    <row r="11">
      <c r="A11" s="11" t="n">
        <v>8</v>
      </c>
      <c r="B11" s="12" t="inlineStr">
        <is>
          <t>Tessera impossibile da piazzare?</t>
        </is>
      </c>
      <c r="C11" s="12" t="inlineStr">
        <is>
          <t>Rara: scarta e pesca un'altra.</t>
        </is>
      </c>
      <c r="D11" s="11" t="inlineStr">
        <is>
          <t>Difficile</t>
        </is>
      </c>
      <c r="E11" s="11" t="inlineStr">
        <is>
          <t>Piazzamento</t>
        </is>
      </c>
      <c r="F11" s="12" t="inlineStr"/>
      <c r="G11" s="11" t="inlineStr"/>
    </row>
    <row r="12">
      <c r="A12" s="9" t="n">
        <v>9</v>
      </c>
      <c r="B12" s="10" t="inlineStr">
        <is>
          <t>I contadini tornano?</t>
        </is>
      </c>
      <c r="C12" s="10" t="inlineStr">
        <is>
          <t>No. Restano per tutta la partita.</t>
        </is>
      </c>
      <c r="D12" s="9" t="inlineStr">
        <is>
          <t>Media</t>
        </is>
      </c>
      <c r="E12" s="9" t="inlineStr">
        <is>
          <t>Contadini</t>
        </is>
      </c>
      <c r="F12" s="10" t="inlineStr"/>
      <c r="G12" s="9" t="inlineStr"/>
    </row>
    <row r="13">
      <c r="A13" s="7" t="n">
        <v>10</v>
      </c>
      <c r="B13" s="8" t="inlineStr">
        <is>
          <t>Punti strada completata?</t>
        </is>
      </c>
      <c r="C13" s="8" t="inlineStr">
        <is>
          <t>1 punto per tessera.</t>
        </is>
      </c>
      <c r="D13" s="7" t="inlineStr">
        <is>
          <t>Facile</t>
        </is>
      </c>
      <c r="E13" s="7" t="inlineStr">
        <is>
          <t>Punteggio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- 7 Wonders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Carte per era?</t>
        </is>
      </c>
      <c r="C4" s="8" t="inlineStr">
        <is>
          <t>6 carte giocate. La 7a scartata.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9" t="n">
        <v>2</v>
      </c>
      <c r="B5" s="10" t="inlineStr">
        <is>
          <t>Risorse da qualsiasi giocatore?</t>
        </is>
      </c>
      <c r="C5" s="10" t="inlineStr">
        <is>
          <t>No. Solo dai 2 vicini. Costo: 2 monete/risorsa.</t>
        </is>
      </c>
      <c r="D5" s="9" t="inlineStr">
        <is>
          <t>Media</t>
        </is>
      </c>
      <c r="E5" s="9" t="inlineStr">
        <is>
          <t>Commercio</t>
        </is>
      </c>
      <c r="F5" s="10" t="inlineStr"/>
      <c r="G5" s="9" t="inlineStr"/>
    </row>
    <row r="6">
      <c r="A6" s="7" t="n">
        <v>3</v>
      </c>
      <c r="B6" s="8" t="inlineStr">
        <is>
          <t>Direzione carte per era?</t>
        </is>
      </c>
      <c r="C6" s="8" t="inlineStr">
        <is>
          <t>Era I: sinistra. Era II: destra. Era III: sinistra.</t>
        </is>
      </c>
      <c r="D6" s="7" t="inlineStr">
        <is>
          <t>Facile</t>
        </is>
      </c>
      <c r="E6" s="7" t="inlineStr">
        <is>
          <t>Draft</t>
        </is>
      </c>
      <c r="F6" s="8" t="inlineStr"/>
      <c r="G6" s="7" t="inlineStr"/>
    </row>
    <row r="7">
      <c r="A7" s="9" t="n">
        <v>4</v>
      </c>
      <c r="B7" s="10" t="inlineStr">
        <is>
          <t>Carta con stesso nome gia giocata?</t>
        </is>
      </c>
      <c r="C7" s="10" t="inlineStr">
        <is>
          <t>No. Scartala per 3 monete o usala per la meraviglia.</t>
        </is>
      </c>
      <c r="D7" s="9" t="inlineStr">
        <is>
          <t>Media</t>
        </is>
      </c>
      <c r="E7" s="9" t="inlineStr">
        <is>
          <t>Costruzione</t>
        </is>
      </c>
      <c r="F7" s="10" t="inlineStr"/>
      <c r="G7" s="9" t="inlineStr"/>
    </row>
    <row r="8">
      <c r="A8" s="9" t="n">
        <v>5</v>
      </c>
      <c r="B8" s="10" t="inlineStr">
        <is>
          <t>Conflitto militare?</t>
        </is>
      </c>
      <c r="C8" s="10" t="inlineStr">
        <is>
          <t>Fine era: confronta con ciascun vicino. Vittoria +1/+3/+5. Sconfitta -1.</t>
        </is>
      </c>
      <c r="D8" s="9" t="inlineStr">
        <is>
          <t>Media</t>
        </is>
      </c>
      <c r="E8" s="9" t="inlineStr">
        <is>
          <t>Militare</t>
        </is>
      </c>
      <c r="F8" s="10" t="inlineStr"/>
      <c r="G8" s="9" t="inlineStr"/>
    </row>
    <row r="9">
      <c r="A9" s="7" t="n">
        <v>6</v>
      </c>
      <c r="B9" s="8" t="inlineStr">
        <is>
          <t>Non posso pagare una carta?</t>
        </is>
      </c>
      <c r="C9" s="8" t="inlineStr">
        <is>
          <t>Scarta per 3 monete o usa per meraviglia.</t>
        </is>
      </c>
      <c r="D9" s="7" t="inlineStr">
        <is>
          <t>Facile</t>
        </is>
      </c>
      <c r="E9" s="7" t="inlineStr">
        <is>
          <t>Costruzione</t>
        </is>
      </c>
      <c r="F9" s="8" t="inlineStr"/>
      <c r="G9" s="7" t="inlineStr"/>
    </row>
    <row r="10">
      <c r="A10" s="11" t="n">
        <v>7</v>
      </c>
      <c r="B10" s="12" t="inlineStr">
        <is>
          <t>Calcolo carte scienza?</t>
        </is>
      </c>
      <c r="C10" s="12" t="inlineStr">
        <is>
          <t>Set 3 diversi = 7 pt. Identici = quadrato. Si sommano.</t>
        </is>
      </c>
      <c r="D10" s="11" t="inlineStr">
        <is>
          <t>Difficile</t>
        </is>
      </c>
      <c r="E10" s="11" t="inlineStr">
        <is>
          <t>Punteggio</t>
        </is>
      </c>
      <c r="F10" s="12" t="inlineStr"/>
      <c r="G10" s="11" t="inlineStr"/>
    </row>
    <row r="11">
      <c r="A11" s="9" t="n">
        <v>8</v>
      </c>
      <c r="B11" s="10" t="inlineStr">
        <is>
          <t>Catena costruzione gratuita?</t>
        </is>
      </c>
      <c r="C11" s="10" t="inlineStr">
        <is>
          <t>Con il prerequisito, costruisci gratis.</t>
        </is>
      </c>
      <c r="D11" s="9" t="inlineStr">
        <is>
          <t>Media</t>
        </is>
      </c>
      <c r="E11" s="9" t="inlineStr">
        <is>
          <t>Costruzione</t>
        </is>
      </c>
      <c r="F11" s="10" t="inlineStr"/>
      <c r="G11" s="9" t="inlineStr"/>
    </row>
    <row r="12">
      <c r="A12" s="9" t="n">
        <v>9</v>
      </c>
      <c r="B12" s="10" t="inlineStr">
        <is>
          <t>Risorse si accumulano?</t>
        </is>
      </c>
      <c r="C12" s="10" t="inlineStr">
        <is>
          <t>No. Produci e usi ogni turno.</t>
        </is>
      </c>
      <c r="D12" s="9" t="inlineStr">
        <is>
          <t>Media</t>
        </is>
      </c>
      <c r="E12" s="9" t="inlineStr">
        <is>
          <t>Risorse</t>
        </is>
      </c>
      <c r="F12" s="10" t="inlineStr"/>
      <c r="G12" s="9" t="inlineStr"/>
    </row>
    <row r="13">
      <c r="A13" s="11" t="n">
        <v>10</v>
      </c>
      <c r="B13" s="12" t="inlineStr">
        <is>
          <t>Bonus tutte le fasi meraviglia?</t>
        </is>
      </c>
      <c r="C13" s="12" t="inlineStr">
        <is>
          <t>No bonus extra oltre ai punti di ogni fase.</t>
        </is>
      </c>
      <c r="D13" s="11" t="inlineStr">
        <is>
          <t>Difficile</t>
        </is>
      </c>
      <c r="E13" s="11" t="inlineStr">
        <is>
          <t>Meraviglia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Azul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Quante tessere da una fabbrica?</t>
        </is>
      </c>
      <c r="C4" s="8" t="inlineStr">
        <is>
          <t>Tutte di UN colore. Resto al centro.</t>
        </is>
      </c>
      <c r="D4" s="7" t="inlineStr">
        <is>
          <t>Facile</t>
        </is>
      </c>
      <c r="E4" s="7" t="inlineStr">
        <is>
          <t>Selezione</t>
        </is>
      </c>
      <c r="F4" s="8" t="inlineStr"/>
      <c r="G4" s="7" t="inlineStr"/>
    </row>
    <row r="5">
      <c r="A5" s="7" t="n">
        <v>2</v>
      </c>
      <c r="B5" s="8" t="inlineStr">
        <is>
          <t>Riga con altro colore?</t>
        </is>
      </c>
      <c r="C5" s="8" t="inlineStr">
        <is>
          <t>No. Ogni riga pattern un solo colore.</t>
        </is>
      </c>
      <c r="D5" s="7" t="inlineStr">
        <is>
          <t>Facile</t>
        </is>
      </c>
      <c r="E5" s="7" t="inlineStr">
        <is>
          <t>Piazzamento</t>
        </is>
      </c>
      <c r="F5" s="8" t="inlineStr"/>
      <c r="G5" s="7" t="inlineStr"/>
    </row>
    <row r="6">
      <c r="A6" s="9" t="n">
        <v>3</v>
      </c>
      <c r="B6" s="10" t="inlineStr">
        <is>
          <t>Tessere in eccesso?</t>
        </is>
      </c>
      <c r="C6" s="10" t="inlineStr">
        <is>
          <t>Riga pavimento penalita: -1,-1,-2,-2,-2,-3,-3.</t>
        </is>
      </c>
      <c r="D6" s="9" t="inlineStr">
        <is>
          <t>Media</t>
        </is>
      </c>
      <c r="E6" s="9" t="inlineStr">
        <is>
          <t>Penalita</t>
        </is>
      </c>
      <c r="F6" s="10" t="inlineStr"/>
      <c r="G6" s="9" t="inlineStr"/>
    </row>
    <row r="7">
      <c r="A7" s="9" t="n">
        <v>4</v>
      </c>
      <c r="B7" s="10" t="inlineStr">
        <is>
          <t>Colore gia nel muro su quella riga?</t>
        </is>
      </c>
      <c r="C7" s="10" t="inlineStr">
        <is>
          <t>No. Ogni colore una volta per riga e colonna.</t>
        </is>
      </c>
      <c r="D7" s="9" t="inlineStr">
        <is>
          <t>Media</t>
        </is>
      </c>
      <c r="E7" s="9" t="inlineStr">
        <is>
          <t>Muro</t>
        </is>
      </c>
      <c r="F7" s="10" t="inlineStr"/>
      <c r="G7" s="9" t="inlineStr"/>
    </row>
    <row r="8">
      <c r="A8" s="9" t="n">
        <v>5</v>
      </c>
      <c r="B8" s="10" t="inlineStr">
        <is>
          <t>Primo a prendere dal centro?</t>
        </is>
      </c>
      <c r="C8" s="10" t="inlineStr">
        <is>
          <t>Prende tessera primo giocatore (-1 pt). Inizia prossimo round.</t>
        </is>
      </c>
      <c r="D8" s="9" t="inlineStr">
        <is>
          <t>Media</t>
        </is>
      </c>
      <c r="E8" s="9" t="inlineStr">
        <is>
          <t>Primo Giocatore</t>
        </is>
      </c>
      <c r="F8" s="10" t="inlineStr"/>
      <c r="G8" s="9" t="inlineStr"/>
    </row>
    <row r="9">
      <c r="A9" s="11" t="n">
        <v>6</v>
      </c>
      <c r="B9" s="12" t="inlineStr">
        <is>
          <t>Punti piazzamento muro?</t>
        </is>
      </c>
      <c r="C9" s="12" t="inlineStr">
        <is>
          <t>Isolata: 1. Adiacente: somma orizzontali + verticali collegate.</t>
        </is>
      </c>
      <c r="D9" s="11" t="inlineStr">
        <is>
          <t>Difficile</t>
        </is>
      </c>
      <c r="E9" s="11" t="inlineStr">
        <is>
          <t>Punteggio</t>
        </is>
      </c>
      <c r="F9" s="12" t="inlineStr"/>
      <c r="G9" s="11" t="inlineStr"/>
    </row>
    <row r="10">
      <c r="A10" s="7" t="n">
        <v>7</v>
      </c>
      <c r="B10" s="8" t="inlineStr">
        <is>
          <t>Quando finisce?</t>
        </is>
      </c>
      <c r="C10" s="8" t="inlineStr">
        <is>
          <t>Fine round con almeno una riga orizzontale completa (5 tessere).</t>
        </is>
      </c>
      <c r="D10" s="7" t="inlineStr">
        <is>
          <t>Facile</t>
        </is>
      </c>
      <c r="E10" s="7" t="inlineStr">
        <is>
          <t>Fine Partita</t>
        </is>
      </c>
      <c r="F10" s="8" t="inlineStr"/>
      <c r="G10" s="7" t="inlineStr"/>
    </row>
    <row r="11">
      <c r="A11" s="9" t="n">
        <v>8</v>
      </c>
      <c r="B11" s="10" t="inlineStr">
        <is>
          <t>Bonus fine partita?</t>
        </is>
      </c>
      <c r="C11" s="10" t="inlineStr">
        <is>
          <t>Riga +2. Colonna +7. Tutti e 5 di un colore +10.</t>
        </is>
      </c>
      <c r="D11" s="9" t="inlineStr">
        <is>
          <t>Media</t>
        </is>
      </c>
      <c r="E11" s="9" t="inlineStr">
        <is>
          <t>Punteggio</t>
        </is>
      </c>
      <c r="F11" s="10" t="inlineStr"/>
      <c r="G11" s="9" t="inlineStr"/>
    </row>
    <row r="12">
      <c r="A12" s="11" t="n">
        <v>9</v>
      </c>
      <c r="B12" s="12" t="inlineStr">
        <is>
          <t>Tutto nel pavimento volontariamente?</t>
        </is>
      </c>
      <c r="C12" s="12" t="inlineStr">
        <is>
          <t>No. Se c'e riga disponibile DEVI usarla.</t>
        </is>
      </c>
      <c r="D12" s="11" t="inlineStr">
        <is>
          <t>Difficile</t>
        </is>
      </c>
      <c r="E12" s="11" t="inlineStr">
        <is>
          <t>Piazzamento</t>
        </is>
      </c>
      <c r="F12" s="12" t="inlineStr"/>
      <c r="G12" s="11" t="inlineStr"/>
    </row>
    <row r="13">
      <c r="A13" s="7" t="n">
        <v>10</v>
      </c>
      <c r="B13" s="8" t="inlineStr">
        <is>
          <t>Posso passare?</t>
        </is>
      </c>
      <c r="C13" s="8" t="inlineStr">
        <is>
          <t>No. Devi prendere finche tutto vuoto.</t>
        </is>
      </c>
      <c r="D13" s="7" t="inlineStr">
        <is>
          <t>Facile</t>
        </is>
      </c>
      <c r="E13" s="7" t="inlineStr">
        <is>
          <t>Turno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Wingspan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Azioni per turno?</t>
        </is>
      </c>
      <c r="C4" s="8" t="inlineStr">
        <is>
          <t>1: giocare uccello, cibo, uova, o pescare carte.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Azioni diminuiscono?</t>
        </is>
      </c>
      <c r="C5" s="8" t="inlineStr">
        <is>
          <t>Si. R1:8, R2:7, R3:6, R4:5. Totale 26.</t>
        </is>
      </c>
      <c r="D5" s="7" t="inlineStr">
        <is>
          <t>Facile</t>
        </is>
      </c>
      <c r="E5" s="7" t="inlineStr">
        <is>
          <t>Struttura</t>
        </is>
      </c>
      <c r="F5" s="8" t="inlineStr"/>
      <c r="G5" s="7" t="inlineStr"/>
    </row>
    <row r="6">
      <c r="A6" s="9" t="n">
        <v>3</v>
      </c>
      <c r="B6" s="10" t="inlineStr">
        <is>
          <t>Come funziona il birdfeeder?</t>
        </is>
      </c>
      <c r="C6" s="10" t="inlineStr">
        <is>
          <t>5 dadi. Scegli dado = quel cibo. 1 rimasto o tutti uguali = rilancio.</t>
        </is>
      </c>
      <c r="D6" s="9" t="inlineStr">
        <is>
          <t>Media</t>
        </is>
      </c>
      <c r="E6" s="9" t="inlineStr">
        <is>
          <t>Cibo</t>
        </is>
      </c>
      <c r="F6" s="10" t="inlineStr"/>
      <c r="G6" s="9" t="inlineStr"/>
    </row>
    <row r="7">
      <c r="A7" s="9" t="n">
        <v>4</v>
      </c>
      <c r="B7" s="10" t="inlineStr">
        <is>
          <t>Uova per giocare uccello?</t>
        </is>
      </c>
      <c r="C7" s="10" t="inlineStr">
        <is>
          <t>Prima colonna: 0. Poi 1-2 extra oltre al cibo.</t>
        </is>
      </c>
      <c r="D7" s="9" t="inlineStr">
        <is>
          <t>Media</t>
        </is>
      </c>
      <c r="E7" s="9" t="inlineStr">
        <is>
          <t>Uccelli</t>
        </is>
      </c>
      <c r="F7" s="10" t="inlineStr"/>
      <c r="G7" s="9" t="inlineStr"/>
    </row>
    <row r="8">
      <c r="A8" s="9" t="n">
        <v>5</v>
      </c>
      <c r="B8" s="10" t="inlineStr">
        <is>
          <t>Poteri marroni?</t>
        </is>
      </c>
      <c r="C8" s="10" t="inlineStr">
        <is>
          <t>Attivati dall'azione habitat. Da destra a sinistra.</t>
        </is>
      </c>
      <c r="D8" s="9" t="inlineStr">
        <is>
          <t>Media</t>
        </is>
      </c>
      <c r="E8" s="9" t="inlineStr">
        <is>
          <t>Poteri</t>
        </is>
      </c>
      <c r="F8" s="10" t="inlineStr"/>
      <c r="G8" s="9" t="inlineStr"/>
    </row>
    <row r="9">
      <c r="A9" s="9" t="n">
        <v>6</v>
      </c>
      <c r="B9" s="10" t="inlineStr">
        <is>
          <t>Obiettivi fine round?</t>
        </is>
      </c>
      <c r="C9" s="10" t="inlineStr">
        <is>
          <t>Confronto performance. Punti per posizionamento.</t>
        </is>
      </c>
      <c r="D9" s="9" t="inlineStr">
        <is>
          <t>Media</t>
        </is>
      </c>
      <c r="E9" s="9" t="inlineStr">
        <is>
          <t>Obiettivi</t>
        </is>
      </c>
      <c r="F9" s="10" t="inlineStr"/>
      <c r="G9" s="9" t="inlineStr"/>
    </row>
    <row r="10">
      <c r="A10" s="7" t="n">
        <v>7</v>
      </c>
      <c r="B10" s="8" t="inlineStr">
        <is>
          <t>Limite carte in mano?</t>
        </is>
      </c>
      <c r="C10" s="8" t="inlineStr">
        <is>
          <t>No, illimitate.</t>
        </is>
      </c>
      <c r="D10" s="7" t="inlineStr">
        <is>
          <t>Facile</t>
        </is>
      </c>
      <c r="E10" s="7" t="inlineStr">
        <is>
          <t>Carte</t>
        </is>
      </c>
      <c r="F10" s="8" t="inlineStr"/>
      <c r="G10" s="7" t="inlineStr"/>
    </row>
    <row r="11">
      <c r="A11" s="9" t="n">
        <v>8</v>
      </c>
      <c r="B11" s="10" t="inlineStr">
        <is>
          <t>Mazzo uccelli finito?</t>
        </is>
      </c>
      <c r="C11" s="10" t="inlineStr">
        <is>
          <t>Mescola scarti. Anche scarti finiti = non peschi piu.</t>
        </is>
      </c>
      <c r="D11" s="9" t="inlineStr">
        <is>
          <t>Media</t>
        </is>
      </c>
      <c r="E11" s="9" t="inlineStr">
        <is>
          <t>Carte</t>
        </is>
      </c>
      <c r="F11" s="10" t="inlineStr"/>
      <c r="G11" s="9" t="inlineStr"/>
    </row>
    <row r="12">
      <c r="A12" s="11" t="n">
        <v>9</v>
      </c>
      <c r="B12" s="12" t="inlineStr">
        <is>
          <t>Poteri rosa?</t>
        </is>
      </c>
      <c r="C12" s="12" t="inlineStr">
        <is>
          <t>Turno di ALTRI. Max 1 attivazione tra i tuoi turni.</t>
        </is>
      </c>
      <c r="D12" s="11" t="inlineStr">
        <is>
          <t>Difficile</t>
        </is>
      </c>
      <c r="E12" s="11" t="inlineStr">
        <is>
          <t>Poteri</t>
        </is>
      </c>
      <c r="F12" s="12" t="inlineStr"/>
      <c r="G12" s="11" t="inlineStr"/>
    </row>
    <row r="13">
      <c r="A13" s="11" t="n">
        <v>10</v>
      </c>
      <c r="B13" s="12" t="inlineStr">
        <is>
          <t>Cibo jolly/invertito?</t>
        </is>
      </c>
      <c r="C13" s="12" t="inlineStr">
        <is>
          <t>Jolly: qualsiasi cibo. Invertito: 2 qualsiasi = 1 specifico.</t>
        </is>
      </c>
      <c r="D13" s="11" t="inlineStr">
        <is>
          <t>Difficile</t>
        </is>
      </c>
      <c r="E13" s="11" t="inlineStr">
        <is>
          <t>Cibo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Pandemic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Azioni per turno?</t>
        </is>
      </c>
      <c r="C4" s="8" t="inlineStr">
        <is>
          <t>4. Puoi ripetere la stessa.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Come si vince?</t>
        </is>
      </c>
      <c r="C5" s="8" t="inlineStr">
        <is>
          <t>Cura per tutte e 4 le malattie: 5 carte stesso colore in stazione.</t>
        </is>
      </c>
      <c r="D5" s="7" t="inlineStr">
        <is>
          <t>Facile</t>
        </is>
      </c>
      <c r="E5" s="7" t="inlineStr">
        <is>
          <t>Vittoria</t>
        </is>
      </c>
      <c r="F5" s="8" t="inlineStr"/>
      <c r="G5" s="7" t="inlineStr"/>
    </row>
    <row r="6">
      <c r="A6" s="7" t="n">
        <v>3</v>
      </c>
      <c r="B6" s="8" t="inlineStr">
        <is>
          <t>Carte a fine turno?</t>
        </is>
      </c>
      <c r="C6" s="8" t="inlineStr">
        <is>
          <t>2 dal mazzo giocatore. Epidemia: risolvi subito.</t>
        </is>
      </c>
      <c r="D6" s="7" t="inlineStr">
        <is>
          <t>Facile</t>
        </is>
      </c>
      <c r="E6" s="7" t="inlineStr">
        <is>
          <t>Carte</t>
        </is>
      </c>
      <c r="F6" s="8" t="inlineStr"/>
      <c r="G6" s="7" t="inlineStr"/>
    </row>
    <row r="7">
      <c r="A7" s="9" t="n">
        <v>4</v>
      </c>
      <c r="B7" s="10" t="inlineStr">
        <is>
          <t>Come funziona l'Epidemia?</t>
        </is>
      </c>
      <c r="C7" s="10" t="inlineStr">
        <is>
          <t>1)Aumenta contatore. 2)Ultima carta infezione=3 cubi. 3)Scarti infezione sopra mazzo.</t>
        </is>
      </c>
      <c r="D7" s="9" t="inlineStr">
        <is>
          <t>Media</t>
        </is>
      </c>
      <c r="E7" s="9" t="inlineStr">
        <is>
          <t>Epidemia</t>
        </is>
      </c>
      <c r="F7" s="10" t="inlineStr"/>
      <c r="G7" s="9" t="inlineStr"/>
    </row>
    <row r="8">
      <c r="A8" s="9" t="n">
        <v>5</v>
      </c>
      <c r="B8" s="10" t="inlineStr">
        <is>
          <t>Cos'e un focolaio?</t>
        </is>
      </c>
      <c r="C8" s="10" t="inlineStr">
        <is>
          <t>4o cubo = focolaio. 1 cubo in ogni citta collegata. Catena possibile.</t>
        </is>
      </c>
      <c r="D8" s="9" t="inlineStr">
        <is>
          <t>Media</t>
        </is>
      </c>
      <c r="E8" s="9" t="inlineStr">
        <is>
          <t>Focolaio</t>
        </is>
      </c>
      <c r="F8" s="10" t="inlineStr"/>
      <c r="G8" s="9" t="inlineStr"/>
    </row>
    <row r="9">
      <c r="A9" s="9" t="n">
        <v>6</v>
      </c>
      <c r="B9" s="10" t="inlineStr">
        <is>
          <t>Dare carte a un giocatore?</t>
        </is>
      </c>
      <c r="C9" s="10" t="inlineStr">
        <is>
          <t>Stessa citta + carta di quella citta. Ricercatore: qualsiasi.</t>
        </is>
      </c>
      <c r="D9" s="9" t="inlineStr">
        <is>
          <t>Media</t>
        </is>
      </c>
      <c r="E9" s="9" t="inlineStr">
        <is>
          <t>Condivisione</t>
        </is>
      </c>
      <c r="F9" s="10" t="inlineStr"/>
      <c r="G9" s="9" t="inlineStr"/>
    </row>
    <row r="10">
      <c r="A10" s="11" t="n">
        <v>7</v>
      </c>
      <c r="B10" s="12" t="inlineStr">
        <is>
          <t>Curare vs debellare?</t>
        </is>
      </c>
      <c r="C10" s="12" t="inlineStr">
        <is>
          <t>Curare: 5 carte. Debellare: 0 cubi dopo cura. Non appare piu.</t>
        </is>
      </c>
      <c r="D10" s="11" t="inlineStr">
        <is>
          <t>Difficile</t>
        </is>
      </c>
      <c r="E10" s="11" t="inlineStr">
        <is>
          <t>Malattie</t>
        </is>
      </c>
      <c r="F10" s="12" t="inlineStr"/>
      <c r="G10" s="11" t="inlineStr"/>
    </row>
    <row r="11">
      <c r="A11" s="9" t="n">
        <v>8</v>
      </c>
      <c r="B11" s="10" t="inlineStr">
        <is>
          <t>Quando si perde?</t>
        </is>
      </c>
      <c r="C11" s="10" t="inlineStr">
        <is>
          <t>8o focolaio, cubi insufficienti, o mazzo giocatore vuoto.</t>
        </is>
      </c>
      <c r="D11" s="9" t="inlineStr">
        <is>
          <t>Media</t>
        </is>
      </c>
      <c r="E11" s="9" t="inlineStr">
        <is>
          <t>Sconfitta</t>
        </is>
      </c>
      <c r="F11" s="10" t="inlineStr"/>
      <c r="G11" s="9" t="inlineStr"/>
    </row>
    <row r="12">
      <c r="A12" s="7" t="n">
        <v>9</v>
      </c>
      <c r="B12" s="8" t="inlineStr">
        <is>
          <t>Muoversi e trattare stesso turno?</t>
        </is>
      </c>
      <c r="C12" s="8" t="inlineStr">
        <is>
          <t>Si. 1 azione ciascuna. Hai 4 azioni.</t>
        </is>
      </c>
      <c r="D12" s="7" t="inlineStr">
        <is>
          <t>Facile</t>
        </is>
      </c>
      <c r="E12" s="7" t="inlineStr">
        <is>
          <t>Azioni</t>
        </is>
      </c>
      <c r="F12" s="8" t="inlineStr"/>
      <c r="G12" s="7" t="inlineStr"/>
    </row>
    <row r="13">
      <c r="A13" s="11" t="n">
        <v>10</v>
      </c>
      <c r="B13" s="12" t="inlineStr">
        <is>
          <t>Il Medico?</t>
        </is>
      </c>
      <c r="C13" s="12" t="inlineStr">
        <is>
          <t>Rimuove tutti i cubi di un colore con 1 azione. Cura trovata: automatico.</t>
        </is>
      </c>
      <c r="D13" s="11" t="inlineStr">
        <is>
          <t>Difficile</t>
        </is>
      </c>
      <c r="E13" s="11" t="inlineStr">
        <is>
          <t>Ruoli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Codenames</t>
        </is>
      </c>
    </row>
    <row r="2">
      <c r="A2" s="6" t="inlineStr">
        <is>
          <t>Totale: 10 | Facili: 5 | Medie: 4 | Difficili: 1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Indizio del capospia?</t>
        </is>
      </c>
      <c r="C4" s="8" t="inlineStr">
        <is>
          <t>Una parola + un numero (carte collegate).</t>
        </is>
      </c>
      <c r="D4" s="7" t="inlineStr">
        <is>
          <t>Facile</t>
        </is>
      </c>
      <c r="E4" s="7" t="inlineStr">
        <is>
          <t>Indizi</t>
        </is>
      </c>
      <c r="F4" s="8" t="inlineStr"/>
      <c r="G4" s="7" t="inlineStr"/>
    </row>
    <row r="5">
      <c r="A5" s="7" t="n">
        <v>2</v>
      </c>
      <c r="B5" s="8" t="inlineStr">
        <is>
          <t>Carta Assassino?</t>
        </is>
      </c>
      <c r="C5" s="8" t="inlineStr">
        <is>
          <t>Squadra perde immediatamente.</t>
        </is>
      </c>
      <c r="D5" s="7" t="inlineStr">
        <is>
          <t>Facile</t>
        </is>
      </c>
      <c r="E5" s="7" t="inlineStr">
        <is>
          <t>Assassino</t>
        </is>
      </c>
      <c r="F5" s="8" t="inlineStr"/>
      <c r="G5" s="7" t="inlineStr"/>
    </row>
    <row r="6">
      <c r="A6" s="9" t="n">
        <v>3</v>
      </c>
      <c r="B6" s="10" t="inlineStr">
        <is>
          <t>Indizio = parola sul tavolo?</t>
        </is>
      </c>
      <c r="C6" s="10" t="inlineStr">
        <is>
          <t>No. Nemmeno coperte o varianti.</t>
        </is>
      </c>
      <c r="D6" s="9" t="inlineStr">
        <is>
          <t>Media</t>
        </is>
      </c>
      <c r="E6" s="9" t="inlineStr">
        <is>
          <t>Indizi</t>
        </is>
      </c>
      <c r="F6" s="10" t="inlineStr"/>
      <c r="G6" s="9" t="inlineStr"/>
    </row>
    <row r="7">
      <c r="A7" s="9" t="n">
        <v>4</v>
      </c>
      <c r="B7" s="10" t="inlineStr">
        <is>
          <t>Tentativi dopo indizio?</t>
        </is>
      </c>
      <c r="C7" s="10" t="inlineStr">
        <is>
          <t>Numero detto + 1. "Animale 2" = 3 tentativi max.</t>
        </is>
      </c>
      <c r="D7" s="9" t="inlineStr">
        <is>
          <t>Media</t>
        </is>
      </c>
      <c r="E7" s="9" t="inlineStr">
        <is>
          <t>Tentativi</t>
        </is>
      </c>
      <c r="F7" s="10" t="inlineStr"/>
      <c r="G7" s="9" t="inlineStr"/>
    </row>
    <row r="8">
      <c r="A8" s="9" t="n">
        <v>5</v>
      </c>
      <c r="B8" s="10" t="inlineStr">
        <is>
          <t>Numero come indizio?</t>
        </is>
      </c>
      <c r="C8" s="10" t="inlineStr">
        <is>
          <t>No. Solo parole singole.</t>
        </is>
      </c>
      <c r="D8" s="9" t="inlineStr">
        <is>
          <t>Media</t>
        </is>
      </c>
      <c r="E8" s="9" t="inlineStr">
        <is>
          <t>Indizi</t>
        </is>
      </c>
      <c r="F8" s="10" t="inlineStr"/>
      <c r="G8" s="9" t="inlineStr"/>
    </row>
    <row r="9">
      <c r="A9" s="7" t="n">
        <v>6</v>
      </c>
      <c r="B9" s="8" t="inlineStr">
        <is>
          <t>Carta innocente toccata?</t>
        </is>
      </c>
      <c r="C9" s="8" t="inlineStr">
        <is>
          <t>Turno finisce.</t>
        </is>
      </c>
      <c r="D9" s="7" t="inlineStr">
        <is>
          <t>Facile</t>
        </is>
      </c>
      <c r="E9" s="7" t="inlineStr">
        <is>
          <t>Errori</t>
        </is>
      </c>
      <c r="F9" s="8" t="inlineStr"/>
      <c r="G9" s="7" t="inlineStr"/>
    </row>
    <row r="10">
      <c r="A10" s="9" t="n">
        <v>7</v>
      </c>
      <c r="B10" s="10" t="inlineStr">
        <is>
          <t>Carta avversaria toccata?</t>
        </is>
      </c>
      <c r="C10" s="10" t="inlineStr">
        <is>
          <t>Turno finisce + aiuti l'altra squadra.</t>
        </is>
      </c>
      <c r="D10" s="9" t="inlineStr">
        <is>
          <t>Media</t>
        </is>
      </c>
      <c r="E10" s="9" t="inlineStr">
        <is>
          <t>Errori</t>
        </is>
      </c>
      <c r="F10" s="10" t="inlineStr"/>
      <c r="G10" s="9" t="inlineStr"/>
    </row>
    <row r="11">
      <c r="A11" s="7" t="n">
        <v>8</v>
      </c>
      <c r="B11" s="8" t="inlineStr">
        <is>
          <t>Indizio multi-parola?</t>
        </is>
      </c>
      <c r="C11" s="8" t="inlineStr">
        <is>
          <t>No. Una parola. Nomi propri composti: dipende da house rule.</t>
        </is>
      </c>
      <c r="D11" s="7" t="inlineStr">
        <is>
          <t>Facile</t>
        </is>
      </c>
      <c r="E11" s="7" t="inlineStr">
        <is>
          <t>Indizi</t>
        </is>
      </c>
      <c r="F11" s="8" t="inlineStr"/>
      <c r="G11" s="7" t="inlineStr"/>
    </row>
    <row r="12">
      <c r="A12" s="11" t="n">
        <v>9</v>
      </c>
      <c r="B12" s="12" t="inlineStr">
        <is>
          <t>"Zero" come numero?</t>
        </is>
      </c>
      <c r="C12" s="12" t="inlineStr">
        <is>
          <t>Si. Nessuna carta collegata. 1 tentativo. Strategia difensiva.</t>
        </is>
      </c>
      <c r="D12" s="11" t="inlineStr">
        <is>
          <t>Difficile</t>
        </is>
      </c>
      <c r="E12" s="11" t="inlineStr">
        <is>
          <t>Strategia</t>
        </is>
      </c>
      <c r="F12" s="12" t="inlineStr"/>
      <c r="G12" s="11" t="inlineStr"/>
    </row>
    <row r="13">
      <c r="A13" s="7" t="n">
        <v>10</v>
      </c>
      <c r="B13" s="8" t="inlineStr">
        <is>
          <t>Chi inizia?</t>
        </is>
      </c>
      <c r="C13" s="8" t="inlineStr">
        <is>
          <t>Squadra dalla carta chiave (9 parole vs 8).</t>
        </is>
      </c>
      <c r="D13" s="7" t="inlineStr">
        <is>
          <t>Facile</t>
        </is>
      </c>
      <c r="E13" s="7" t="inlineStr">
        <is>
          <t>Setup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Splendor</t>
        </is>
      </c>
    </row>
    <row r="2">
      <c r="A2" s="6" t="inlineStr">
        <is>
          <t>Totale: 10 | Facili: 6 | Medie: 2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Azioni per turno?</t>
        </is>
      </c>
      <c r="C4" s="8" t="inlineStr">
        <is>
          <t>1: gemme, riservare, o acquistare carta.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Quante gemme?</t>
        </is>
      </c>
      <c r="C5" s="8" t="inlineStr">
        <is>
          <t>3 diversi, oppure 2 uguali (se almeno 4 disponibili).</t>
        </is>
      </c>
      <c r="D5" s="7" t="inlineStr">
        <is>
          <t>Facile</t>
        </is>
      </c>
      <c r="E5" s="7" t="inlineStr">
        <is>
          <t>Gemme</t>
        </is>
      </c>
      <c r="F5" s="8" t="inlineStr"/>
      <c r="G5" s="7" t="inlineStr"/>
    </row>
    <row r="6">
      <c r="A6" s="7" t="n">
        <v>3</v>
      </c>
      <c r="B6" s="8" t="inlineStr">
        <is>
          <t>Limite gemme?</t>
        </is>
      </c>
      <c r="C6" s="8" t="inlineStr">
        <is>
          <t>10 max a fine turno.</t>
        </is>
      </c>
      <c r="D6" s="7" t="inlineStr">
        <is>
          <t>Facile</t>
        </is>
      </c>
      <c r="E6" s="7" t="inlineStr">
        <is>
          <t>Gemme</t>
        </is>
      </c>
      <c r="F6" s="8" t="inlineStr"/>
      <c r="G6" s="7" t="inlineStr"/>
    </row>
    <row r="7">
      <c r="A7" s="9" t="n">
        <v>4</v>
      </c>
      <c r="B7" s="10" t="inlineStr">
        <is>
          <t>Riserva carte?</t>
        </is>
      </c>
      <c r="C7" s="10" t="inlineStr">
        <is>
          <t>Tieni carta + 1 oro jolly. Max 3 riservate.</t>
        </is>
      </c>
      <c r="D7" s="9" t="inlineStr">
        <is>
          <t>Media</t>
        </is>
      </c>
      <c r="E7" s="9" t="inlineStr">
        <is>
          <t>Riserva</t>
        </is>
      </c>
      <c r="F7" s="10" t="inlineStr"/>
      <c r="G7" s="9" t="inlineStr"/>
    </row>
    <row r="8">
      <c r="A8" s="7" t="n">
        <v>5</v>
      </c>
      <c r="B8" s="8" t="inlineStr">
        <is>
          <t>Bonus carte permanenti?</t>
        </is>
      </c>
      <c r="C8" s="8" t="inlineStr">
        <is>
          <t>Si. Sconto permanente di 1 gemma del colore.</t>
        </is>
      </c>
      <c r="D8" s="7" t="inlineStr">
        <is>
          <t>Facile</t>
        </is>
      </c>
      <c r="E8" s="7" t="inlineStr">
        <is>
          <t>Bonus</t>
        </is>
      </c>
      <c r="F8" s="8" t="inlineStr"/>
      <c r="G8" s="7" t="inlineStr"/>
    </row>
    <row r="9">
      <c r="A9" s="9" t="n">
        <v>6</v>
      </c>
      <c r="B9" s="10" t="inlineStr">
        <is>
          <t>Come ottenere Nobili?</t>
        </is>
      </c>
      <c r="C9" s="10" t="inlineStr">
        <is>
          <t>Automatico a fine turno con bonus sufficienti. Non costa azione.</t>
        </is>
      </c>
      <c r="D9" s="9" t="inlineStr">
        <is>
          <t>Media</t>
        </is>
      </c>
      <c r="E9" s="9" t="inlineStr">
        <is>
          <t>Nobili</t>
        </is>
      </c>
      <c r="F9" s="10" t="inlineStr"/>
      <c r="G9" s="9" t="inlineStr"/>
    </row>
    <row r="10">
      <c r="A10" s="11" t="n">
        <v>7</v>
      </c>
      <c r="B10" s="12" t="inlineStr">
        <is>
          <t>Oro per prendere gemme?</t>
        </is>
      </c>
      <c r="C10" s="12" t="inlineStr">
        <is>
          <t>No. Solo per acquistare carte.</t>
        </is>
      </c>
      <c r="D10" s="11" t="inlineStr">
        <is>
          <t>Difficile</t>
        </is>
      </c>
      <c r="E10" s="11" t="inlineStr">
        <is>
          <t>Gemme</t>
        </is>
      </c>
      <c r="F10" s="12" t="inlineStr"/>
      <c r="G10" s="11" t="inlineStr"/>
    </row>
    <row r="11">
      <c r="A11" s="7" t="n">
        <v>8</v>
      </c>
      <c r="B11" s="8" t="inlineStr">
        <is>
          <t>Quando finisce?</t>
        </is>
      </c>
      <c r="C11" s="8" t="inlineStr">
        <is>
          <t>15 punti raggiunti. Si finisce il round.</t>
        </is>
      </c>
      <c r="D11" s="7" t="inlineStr">
        <is>
          <t>Facile</t>
        </is>
      </c>
      <c r="E11" s="7" t="inlineStr">
        <is>
          <t>Fine Partita</t>
        </is>
      </c>
      <c r="F11" s="8" t="inlineStr"/>
      <c r="G11" s="7" t="inlineStr"/>
    </row>
    <row r="12">
      <c r="A12" s="7" t="n">
        <v>9</v>
      </c>
      <c r="B12" s="8" t="inlineStr">
        <is>
          <t>Comprare dal display senza riservare?</t>
        </is>
      </c>
      <c r="C12" s="8" t="inlineStr">
        <is>
          <t>Si, e l'azione principale.</t>
        </is>
      </c>
      <c r="D12" s="7" t="inlineStr">
        <is>
          <t>Facile</t>
        </is>
      </c>
      <c r="E12" s="7" t="inlineStr">
        <is>
          <t>Acquisto</t>
        </is>
      </c>
      <c r="F12" s="8" t="inlineStr"/>
      <c r="G12" s="7" t="inlineStr"/>
    </row>
    <row r="13">
      <c r="A13" s="11" t="n">
        <v>10</v>
      </c>
      <c r="B13" s="12" t="inlineStr">
        <is>
          <t>Spareggio a 15 punti?</t>
        </is>
      </c>
      <c r="C13" s="12" t="inlineStr">
        <is>
          <t>Meno carte sviluppo = vince.</t>
        </is>
      </c>
      <c r="D13" s="11" t="inlineStr">
        <is>
          <t>Difficile</t>
        </is>
      </c>
      <c r="E13" s="11" t="inlineStr">
        <is>
          <t>Spareggio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King of Tokyo</t>
        </is>
      </c>
    </row>
    <row r="2">
      <c r="A2" s="6" t="inlineStr">
        <is>
          <t>Totale: 10 | Facili: 4 | Medie: 5 | Difficili: 1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Quanti dadi?</t>
        </is>
      </c>
      <c r="C4" s="8" t="inlineStr">
        <is>
          <t>6. Rilanci fino a 2 volte (3 lanci totali).</t>
        </is>
      </c>
      <c r="D4" s="7" t="inlineStr">
        <is>
          <t>Facile</t>
        </is>
      </c>
      <c r="E4" s="7" t="inlineStr">
        <is>
          <t>Dadi</t>
        </is>
      </c>
      <c r="F4" s="8" t="inlineStr"/>
      <c r="G4" s="7" t="inlineStr"/>
    </row>
    <row r="5">
      <c r="A5" s="7" t="n">
        <v>2</v>
      </c>
      <c r="B5" s="8" t="inlineStr">
        <is>
          <t>Come entro a Tokyo?</t>
        </is>
      </c>
      <c r="C5" s="8" t="inlineStr">
        <is>
          <t>Nessuno dentro + almeno un artiglio = DEVI entrare.</t>
        </is>
      </c>
      <c r="D5" s="7" t="inlineStr">
        <is>
          <t>Facile</t>
        </is>
      </c>
      <c r="E5" s="7" t="inlineStr">
        <is>
          <t>Tokyo</t>
        </is>
      </c>
      <c r="F5" s="8" t="inlineStr"/>
      <c r="G5" s="7" t="inlineStr"/>
    </row>
    <row r="6">
      <c r="A6" s="9" t="n">
        <v>3</v>
      </c>
      <c r="B6" s="10" t="inlineStr">
        <is>
          <t>Curarmi a Tokyo?</t>
        </is>
      </c>
      <c r="C6" s="10" t="inlineStr">
        <is>
          <t>No. Non puoi usare cuori dentro Tokyo.</t>
        </is>
      </c>
      <c r="D6" s="9" t="inlineStr">
        <is>
          <t>Media</t>
        </is>
      </c>
      <c r="E6" s="9" t="inlineStr">
        <is>
          <t>Tokyo</t>
        </is>
      </c>
      <c r="F6" s="10" t="inlineStr"/>
      <c r="G6" s="9" t="inlineStr"/>
    </row>
    <row r="7">
      <c r="A7" s="9" t="n">
        <v>4</v>
      </c>
      <c r="B7" s="10" t="inlineStr">
        <is>
          <t>Attacco da Tokyo?</t>
        </is>
      </c>
      <c r="C7" s="10" t="inlineStr">
        <is>
          <t>Colpisci TUTTI fuori. Da fuori: solo chi e dentro.</t>
        </is>
      </c>
      <c r="D7" s="9" t="inlineStr">
        <is>
          <t>Media</t>
        </is>
      </c>
      <c r="E7" s="9" t="inlineStr">
        <is>
          <t>Combattimento</t>
        </is>
      </c>
      <c r="F7" s="10" t="inlineStr"/>
      <c r="G7" s="9" t="inlineStr"/>
    </row>
    <row r="8">
      <c r="A8" s="9" t="n">
        <v>5</v>
      </c>
      <c r="B8" s="10" t="inlineStr">
        <is>
          <t>Uscire da Tokyo?</t>
        </is>
      </c>
      <c r="C8" s="10" t="inlineStr">
        <is>
          <t>Solo quando ricevi danno. Cedi all'attaccante.</t>
        </is>
      </c>
      <c r="D8" s="9" t="inlineStr">
        <is>
          <t>Media</t>
        </is>
      </c>
      <c r="E8" s="9" t="inlineStr">
        <is>
          <t>Tokyo</t>
        </is>
      </c>
      <c r="F8" s="10" t="inlineStr"/>
      <c r="G8" s="9" t="inlineStr"/>
    </row>
    <row r="9">
      <c r="A9" s="9" t="n">
        <v>6</v>
      </c>
      <c r="B9" s="10" t="inlineStr">
        <is>
          <t>Numeri sui dadi?</t>
        </is>
      </c>
      <c r="C9" s="10" t="inlineStr">
        <is>
          <t>3 uguali = quel numero in punti. Ogni extra = +1.</t>
        </is>
      </c>
      <c r="D9" s="9" t="inlineStr">
        <is>
          <t>Media</t>
        </is>
      </c>
      <c r="E9" s="9" t="inlineStr">
        <is>
          <t>Punteggio</t>
        </is>
      </c>
      <c r="F9" s="10" t="inlineStr"/>
      <c r="G9" s="9" t="inlineStr"/>
    </row>
    <row r="10">
      <c r="A10" s="7" t="n">
        <v>7</v>
      </c>
      <c r="B10" s="8" t="inlineStr">
        <is>
          <t>Come si vince?</t>
        </is>
      </c>
      <c r="C10" s="8" t="inlineStr">
        <is>
          <t>20 punti o ultimo in vita.</t>
        </is>
      </c>
      <c r="D10" s="7" t="inlineStr">
        <is>
          <t>Facile</t>
        </is>
      </c>
      <c r="E10" s="7" t="inlineStr">
        <is>
          <t>Vittoria</t>
        </is>
      </c>
      <c r="F10" s="8" t="inlineStr"/>
      <c r="G10" s="7" t="inlineStr"/>
    </row>
    <row r="11">
      <c r="A11" s="9" t="n">
        <v>8</v>
      </c>
      <c r="B11" s="10" t="inlineStr">
        <is>
          <t>Punti Tokyo?</t>
        </is>
      </c>
      <c r="C11" s="10" t="inlineStr">
        <is>
          <t>+1 entrando, +2 inizio turno se dentro.</t>
        </is>
      </c>
      <c r="D11" s="9" t="inlineStr">
        <is>
          <t>Media</t>
        </is>
      </c>
      <c r="E11" s="9" t="inlineStr">
        <is>
          <t>Punteggio</t>
        </is>
      </c>
      <c r="F11" s="10" t="inlineStr"/>
      <c r="G11" s="9" t="inlineStr"/>
    </row>
    <row r="12">
      <c r="A12" s="7" t="n">
        <v>9</v>
      </c>
      <c r="B12" s="8" t="inlineStr">
        <is>
          <t>Comprare carte potere?</t>
        </is>
      </c>
      <c r="C12" s="8" t="inlineStr">
        <is>
          <t>Solo fase acquisto dopo dadi. Quante vuoi con energia.</t>
        </is>
      </c>
      <c r="D12" s="7" t="inlineStr">
        <is>
          <t>Facile</t>
        </is>
      </c>
      <c r="E12" s="7" t="inlineStr">
        <is>
          <t>Carte</t>
        </is>
      </c>
      <c r="F12" s="8" t="inlineStr"/>
      <c r="G12" s="7" t="inlineStr"/>
    </row>
    <row r="13">
      <c r="A13" s="11" t="n">
        <v>10</v>
      </c>
      <c r="B13" s="12" t="inlineStr">
        <is>
          <t>Morte: le carte?</t>
        </is>
      </c>
      <c r="C13" s="12" t="inlineStr">
        <is>
          <t>Scartate. Eliminato dalla partita.</t>
        </is>
      </c>
      <c r="D13" s="11" t="inlineStr">
        <is>
          <t>Difficile</t>
        </is>
      </c>
      <c r="E13" s="11" t="inlineStr">
        <is>
          <t>Eliminazione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44AD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Gloomhaven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Quante carte azione gioco per turno?</t>
        </is>
      </c>
      <c r="C4" s="8" t="inlineStr">
        <is>
          <t>2 carte azione dalla mano. Usi la meta superiore di una e l'inferiore dell'altra.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9" t="n">
        <v>2</v>
      </c>
      <c r="B5" s="10" t="inlineStr">
        <is>
          <t>Quando il personaggio si esaurisce?</t>
        </is>
      </c>
      <c r="C5" s="10" t="inlineStr">
        <is>
          <t>Quando non puoi giocare 2 carte (mano + scarti insufficienti dopo riposo).</t>
        </is>
      </c>
      <c r="D5" s="9" t="inlineStr">
        <is>
          <t>Media</t>
        </is>
      </c>
      <c r="E5" s="9" t="inlineStr">
        <is>
          <t>Esaurimento</t>
        </is>
      </c>
      <c r="F5" s="10" t="inlineStr"/>
      <c r="G5" s="9" t="inlineStr"/>
    </row>
    <row r="6">
      <c r="A6" s="9" t="n">
        <v>3</v>
      </c>
      <c r="B6" s="10" t="inlineStr">
        <is>
          <t>Come funziona il riposo lungo?</t>
        </is>
      </c>
      <c r="C6" s="10" t="inlineStr">
        <is>
          <t>Perdi il turno. Recuperi tutti gli scarti tranne 1 (a scelta). Curi 2 HP.</t>
        </is>
      </c>
      <c r="D6" s="9" t="inlineStr">
        <is>
          <t>Media</t>
        </is>
      </c>
      <c r="E6" s="9" t="inlineStr">
        <is>
          <t>Riposo</t>
        </is>
      </c>
      <c r="F6" s="10" t="inlineStr"/>
      <c r="G6" s="9" t="inlineStr"/>
    </row>
    <row r="7">
      <c r="A7" s="9" t="n">
        <v>4</v>
      </c>
      <c r="B7" s="10" t="inlineStr">
        <is>
          <t>Cosa succede se il mostro non ha bersagli?</t>
        </is>
      </c>
      <c r="C7" s="10" t="inlineStr">
        <is>
          <t>Non attacca. Si muove verso il bersaglio piu vicino seguendo il percorso piu corto.</t>
        </is>
      </c>
      <c r="D7" s="9" t="inlineStr">
        <is>
          <t>Media</t>
        </is>
      </c>
      <c r="E7" s="9" t="inlineStr">
        <is>
          <t>Mostri</t>
        </is>
      </c>
      <c r="F7" s="10" t="inlineStr"/>
      <c r="G7" s="9" t="inlineStr"/>
    </row>
    <row r="8">
      <c r="A8" s="7" t="n">
        <v>5</v>
      </c>
      <c r="B8" s="8" t="inlineStr">
        <is>
          <t>Come funziona l'iniziativa?</t>
        </is>
      </c>
      <c r="C8" s="8" t="inlineStr">
        <is>
          <t>Ogni carta ha un numero iniziativa. Scegli una delle 2 carte come riferimento. Piu basso = prima.</t>
        </is>
      </c>
      <c r="D8" s="7" t="inlineStr">
        <is>
          <t>Facile</t>
        </is>
      </c>
      <c r="E8" s="7" t="inlineStr">
        <is>
          <t>Iniziativa</t>
        </is>
      </c>
      <c r="F8" s="8" t="inlineStr"/>
      <c r="G8" s="7" t="inlineStr"/>
    </row>
    <row r="9">
      <c r="A9" s="11" t="n">
        <v>6</v>
      </c>
      <c r="B9" s="12" t="inlineStr">
        <is>
          <t>Posso cambiare azione dopo aver rivelato le carte?</t>
        </is>
      </c>
      <c r="C9" s="12" t="inlineStr">
        <is>
          <t>No. Puoi solo usare un riposo lungo in alternativa, non cambiare carte.</t>
        </is>
      </c>
      <c r="D9" s="11" t="inlineStr">
        <is>
          <t>Difficile</t>
        </is>
      </c>
      <c r="E9" s="11" t="inlineStr">
        <is>
          <t>Turno</t>
        </is>
      </c>
      <c r="F9" s="12" t="inlineStr"/>
      <c r="G9" s="11" t="inlineStr"/>
    </row>
    <row r="10">
      <c r="A10" s="9" t="n">
        <v>7</v>
      </c>
      <c r="B10" s="10" t="inlineStr">
        <is>
          <t>Come funzionano le carte perse?</t>
        </is>
      </c>
      <c r="C10" s="10" t="inlineStr">
        <is>
          <t>Le carte con simbolo "perse" vanno nella pila delle perse e NON si recuperano col riposo.</t>
        </is>
      </c>
      <c r="D10" s="9" t="inlineStr">
        <is>
          <t>Media</t>
        </is>
      </c>
      <c r="E10" s="9" t="inlineStr">
        <is>
          <t>Carte</t>
        </is>
      </c>
      <c r="F10" s="10" t="inlineStr"/>
      <c r="G10" s="9" t="inlineStr"/>
    </row>
    <row r="11">
      <c r="A11" s="9" t="n">
        <v>8</v>
      </c>
      <c r="B11" s="10" t="inlineStr">
        <is>
          <t>Posso aprire una porta e agire nella stessa stanza?</t>
        </is>
      </c>
      <c r="C11" s="10" t="inlineStr">
        <is>
          <t>Aprire una porta e un'azione di movimento. Rivela la stanza e le sue creature.</t>
        </is>
      </c>
      <c r="D11" s="9" t="inlineStr">
        <is>
          <t>Media</t>
        </is>
      </c>
      <c r="E11" s="9" t="inlineStr">
        <is>
          <t>Esplorazione</t>
        </is>
      </c>
      <c r="F11" s="10" t="inlineStr"/>
      <c r="G11" s="9" t="inlineStr"/>
    </row>
    <row r="12">
      <c r="A12" s="7" t="n">
        <v>9</v>
      </c>
      <c r="B12" s="8" t="inlineStr">
        <is>
          <t>Quando si fallisce uno scenario?</t>
        </is>
      </c>
      <c r="C12" s="8" t="inlineStr">
        <is>
          <t>Quando tutti i giocatori sono esauriti. Si puo ripetere senza penalita.</t>
        </is>
      </c>
      <c r="D12" s="7" t="inlineStr">
        <is>
          <t>Facile</t>
        </is>
      </c>
      <c r="E12" s="7" t="inlineStr">
        <is>
          <t>Sconfitta</t>
        </is>
      </c>
      <c r="F12" s="8" t="inlineStr"/>
      <c r="G12" s="7" t="inlineStr"/>
    </row>
    <row r="13">
      <c r="A13" s="11" t="n">
        <v>10</v>
      </c>
      <c r="B13" s="12" t="inlineStr">
        <is>
          <t>L'esperienza si tiene se si fallisce?</t>
        </is>
      </c>
      <c r="C13" s="12" t="inlineStr">
        <is>
          <t>Si. XP, oro raccolto e danni alle carte si conservano anche in caso di sconfitta.</t>
        </is>
      </c>
      <c r="D13" s="11" t="inlineStr">
        <is>
          <t>Difficile</t>
        </is>
      </c>
      <c r="E13" s="11" t="inlineStr">
        <is>
          <t>Progressione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74C3C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Terraforming Mars</t>
        </is>
      </c>
    </row>
    <row r="2">
      <c r="A2" s="6" t="inlineStr">
        <is>
          <t>Totale: 10 | Facili: 2 | Medie: 5 | Difficili: 3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Quante azioni per turno?</t>
        </is>
      </c>
      <c r="C4" s="8" t="inlineStr">
        <is>
          <t>1 o 2 azioni per turno, oppure passi. Quando tutti passano, finisce la generazione.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Come si vince?</t>
        </is>
      </c>
      <c r="C5" s="8" t="inlineStr">
        <is>
          <t>Piu punti terraformazione (TR) + punti carte + premi + milestone + tessere.</t>
        </is>
      </c>
      <c r="D5" s="7" t="inlineStr">
        <is>
          <t>Facile</t>
        </is>
      </c>
      <c r="E5" s="7" t="inlineStr">
        <is>
          <t>Vittoria</t>
        </is>
      </c>
      <c r="F5" s="8" t="inlineStr"/>
      <c r="G5" s="7" t="inlineStr"/>
    </row>
    <row r="6">
      <c r="A6" s="9" t="n">
        <v>3</v>
      </c>
      <c r="B6" s="10" t="inlineStr">
        <is>
          <t>Quando finisce la partita?</t>
        </is>
      </c>
      <c r="C6" s="10" t="inlineStr">
        <is>
          <t>Quando tutti e 3 i parametri globali sono al massimo: temperatura, ossigeno, oceani.</t>
        </is>
      </c>
      <c r="D6" s="9" t="inlineStr">
        <is>
          <t>Media</t>
        </is>
      </c>
      <c r="E6" s="9" t="inlineStr">
        <is>
          <t>Fine Partita</t>
        </is>
      </c>
      <c r="F6" s="10" t="inlineStr"/>
      <c r="G6" s="9" t="inlineStr"/>
    </row>
    <row r="7">
      <c r="A7" s="9" t="n">
        <v>4</v>
      </c>
      <c r="B7" s="10" t="inlineStr">
        <is>
          <t>Come funziona la produzione?</t>
        </is>
      </c>
      <c r="C7" s="10" t="inlineStr">
        <is>
          <t>A fine generazione: ricevi megacrediti = TR + produzione MC. Ogni risorsa aumenta del suo valore produzione.</t>
        </is>
      </c>
      <c r="D7" s="9" t="inlineStr">
        <is>
          <t>Media</t>
        </is>
      </c>
      <c r="E7" s="9" t="inlineStr">
        <is>
          <t>Produzione</t>
        </is>
      </c>
      <c r="F7" s="10" t="inlineStr"/>
      <c r="G7" s="9" t="inlineStr"/>
    </row>
    <row r="8">
      <c r="A8" s="9" t="n">
        <v>5</v>
      </c>
      <c r="B8" s="10" t="inlineStr">
        <is>
          <t>Posso giocare carte senza i requisiti?</t>
        </is>
      </c>
      <c r="C8" s="10" t="inlineStr">
        <is>
          <t>No. I requisiti (temperatura, ossigeno, tag) devono essere soddisfatti AL MOMENTO del gioco.</t>
        </is>
      </c>
      <c r="D8" s="9" t="inlineStr">
        <is>
          <t>Media</t>
        </is>
      </c>
      <c r="E8" s="9" t="inlineStr">
        <is>
          <t>Carte</t>
        </is>
      </c>
      <c r="F8" s="10" t="inlineStr"/>
      <c r="G8" s="9" t="inlineStr"/>
    </row>
    <row r="9">
      <c r="A9" s="9" t="n">
        <v>6</v>
      </c>
      <c r="B9" s="10" t="inlineStr">
        <is>
          <t>Come funzionano i Milestone?</t>
        </is>
      </c>
      <c r="C9" s="10" t="inlineStr">
        <is>
          <t>Costa 8MC reclamare un milestone. Max 3 milestone reclamabili in partita. 5 punti ciascuno.</t>
        </is>
      </c>
      <c r="D9" s="9" t="inlineStr">
        <is>
          <t>Media</t>
        </is>
      </c>
      <c r="E9" s="9" t="inlineStr">
        <is>
          <t>Milestone</t>
        </is>
      </c>
      <c r="F9" s="10" t="inlineStr"/>
      <c r="G9" s="9" t="inlineStr"/>
    </row>
    <row r="10">
      <c r="A10" s="11" t="n">
        <v>7</v>
      </c>
      <c r="B10" s="12" t="inlineStr">
        <is>
          <t>Awards (premi) come funzionano?</t>
        </is>
      </c>
      <c r="C10" s="12" t="inlineStr">
        <is>
          <t>Costa 8/14/20 MC sponsorizzare. Max 3. A fine partita: 1o posto 5pt, 2o posto 2pt.</t>
        </is>
      </c>
      <c r="D10" s="11" t="inlineStr">
        <is>
          <t>Difficile</t>
        </is>
      </c>
      <c r="E10" s="11" t="inlineStr">
        <is>
          <t>Premi</t>
        </is>
      </c>
      <c r="F10" s="12" t="inlineStr"/>
      <c r="G10" s="11" t="inlineStr"/>
    </row>
    <row r="11">
      <c r="A11" s="11" t="n">
        <v>8</v>
      </c>
      <c r="B11" s="12" t="inlineStr">
        <is>
          <t>Le carte evento (rosse) restano in gioco?</t>
        </is>
      </c>
      <c r="C11" s="12" t="inlineStr">
        <is>
          <t>No. Gli eventi si risolvono e vanno negli scarti. I tag restano per altri requisiti ma la carta no.</t>
        </is>
      </c>
      <c r="D11" s="11" t="inlineStr">
        <is>
          <t>Difficile</t>
        </is>
      </c>
      <c r="E11" s="11" t="inlineStr">
        <is>
          <t>Carte</t>
        </is>
      </c>
      <c r="F11" s="12" t="inlineStr"/>
      <c r="G11" s="11" t="inlineStr"/>
    </row>
    <row r="12">
      <c r="A12" s="9" t="n">
        <v>9</v>
      </c>
      <c r="B12" s="10" t="inlineStr">
        <is>
          <t>Posso piazzare tessere oceano volontariamente?</t>
        </is>
      </c>
      <c r="C12" s="10" t="inlineStr">
        <is>
          <t>Solo negli spazi riservati agli oceani. Ogni oceano piazzato aumenta TR di 1.</t>
        </is>
      </c>
      <c r="D12" s="9" t="inlineStr">
        <is>
          <t>Media</t>
        </is>
      </c>
      <c r="E12" s="9" t="inlineStr">
        <is>
          <t>Tessere</t>
        </is>
      </c>
      <c r="F12" s="10" t="inlineStr"/>
      <c r="G12" s="9" t="inlineStr"/>
    </row>
    <row r="13">
      <c r="A13" s="11" t="n">
        <v>10</v>
      </c>
      <c r="B13" s="12" t="inlineStr">
        <is>
          <t>Il progetto standard "vendere brevetti"?</t>
        </is>
      </c>
      <c r="C13" s="12" t="inlineStr">
        <is>
          <t>Scarta qualsiasi carta dalla mano per 1 MC. Non e un'azione, si fa durante il turno.</t>
        </is>
      </c>
      <c r="D13" s="11" t="inlineStr">
        <is>
          <t>Difficile</t>
        </is>
      </c>
      <c r="E13" s="11" t="inlineStr">
        <is>
          <t>Azioni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74C3C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Scythe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Posso fare la stessa azione del turno precedente?</t>
        </is>
      </c>
      <c r="C4" s="8" t="inlineStr">
        <is>
          <t>No. Devi scegliere una sezione diversa del tuo plancia azione ad ogni turno.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9" t="n">
        <v>2</v>
      </c>
      <c r="B5" s="10" t="inlineStr">
        <is>
          <t>Come funziona il combattimento?</t>
        </is>
      </c>
      <c r="C5" s="10" t="inlineStr">
        <is>
          <t>Entrambi i giocatori scelgono segretamente potere (0-7) + carte combattimento. Totale piu alto vince.</t>
        </is>
      </c>
      <c r="D5" s="9" t="inlineStr">
        <is>
          <t>Media</t>
        </is>
      </c>
      <c r="E5" s="9" t="inlineStr">
        <is>
          <t>Combattimento</t>
        </is>
      </c>
      <c r="F5" s="10" t="inlineStr"/>
      <c r="G5" s="9" t="inlineStr"/>
    </row>
    <row r="6">
      <c r="A6" s="9" t="n">
        <v>3</v>
      </c>
      <c r="B6" s="10" t="inlineStr">
        <is>
          <t>Cosa succede al perdente di un combattimento?</t>
        </is>
      </c>
      <c r="C6" s="10" t="inlineStr">
        <is>
          <t>Unita sconfitte tornano alla base. Il perdente riceve 1 carta combattimento per unita ritirata.</t>
        </is>
      </c>
      <c r="D6" s="9" t="inlineStr">
        <is>
          <t>Media</t>
        </is>
      </c>
      <c r="E6" s="9" t="inlineStr">
        <is>
          <t>Combattimento</t>
        </is>
      </c>
      <c r="F6" s="10" t="inlineStr"/>
      <c r="G6" s="9" t="inlineStr"/>
    </row>
    <row r="7">
      <c r="A7" s="9" t="n">
        <v>4</v>
      </c>
      <c r="B7" s="10" t="inlineStr">
        <is>
          <t>Come piazzo stelle?</t>
        </is>
      </c>
      <c r="C7" s="10" t="inlineStr">
        <is>
          <t>6 stelle = fine partita. Si piazzano completando obiettivi: 6 lavoratori, upgrades, edifici, arruolamenti, combattimenti vinti, obiettivo segreto.</t>
        </is>
      </c>
      <c r="D7" s="9" t="inlineStr">
        <is>
          <t>Media</t>
        </is>
      </c>
      <c r="E7" s="9" t="inlineStr">
        <is>
          <t>Stelle</t>
        </is>
      </c>
      <c r="F7" s="10" t="inlineStr"/>
      <c r="G7" s="9" t="inlineStr"/>
    </row>
    <row r="8">
      <c r="A8" s="9" t="n">
        <v>5</v>
      </c>
      <c r="B8" s="10" t="inlineStr">
        <is>
          <t>Il personaggio puo attraversare fiumi?</t>
        </is>
      </c>
      <c r="C8" s="10" t="inlineStr">
        <is>
          <t>Solo con l'upgrade Riverwalk o tramite tunnel/lago specifici della fazione.</t>
        </is>
      </c>
      <c r="D8" s="9" t="inlineStr">
        <is>
          <t>Media</t>
        </is>
      </c>
      <c r="E8" s="9" t="inlineStr">
        <is>
          <t>Movimento</t>
        </is>
      </c>
      <c r="F8" s="10" t="inlineStr"/>
      <c r="G8" s="9" t="inlineStr"/>
    </row>
    <row r="9">
      <c r="A9" s="7" t="n">
        <v>6</v>
      </c>
      <c r="B9" s="8" t="inlineStr">
        <is>
          <t>Quando finisce la partita?</t>
        </is>
      </c>
      <c r="C9" s="8" t="inlineStr">
        <is>
          <t>Immediatamente quando un giocatore piazza la 6a stella. Quel turno e l'ultimo.</t>
        </is>
      </c>
      <c r="D9" s="7" t="inlineStr">
        <is>
          <t>Facile</t>
        </is>
      </c>
      <c r="E9" s="7" t="inlineStr">
        <is>
          <t>Fine Partita</t>
        </is>
      </c>
      <c r="F9" s="8" t="inlineStr"/>
      <c r="G9" s="7" t="inlineStr"/>
    </row>
    <row r="10">
      <c r="A10" s="11" t="n">
        <v>7</v>
      </c>
      <c r="B10" s="12" t="inlineStr">
        <is>
          <t>Come si calcolano i punti finali?</t>
        </is>
      </c>
      <c r="C10" s="12" t="inlineStr">
        <is>
          <t>Monete + bonus per stelle/territori/risorse. Il moltiplicatore dipende dalla posizione sulla traccia popolarita.</t>
        </is>
      </c>
      <c r="D10" s="11" t="inlineStr">
        <is>
          <t>Difficile</t>
        </is>
      </c>
      <c r="E10" s="11" t="inlineStr">
        <is>
          <t>Punteggio</t>
        </is>
      </c>
      <c r="F10" s="12" t="inlineStr"/>
      <c r="G10" s="11" t="inlineStr"/>
    </row>
    <row r="11">
      <c r="A11" s="9" t="n">
        <v>8</v>
      </c>
      <c r="B11" s="10" t="inlineStr">
        <is>
          <t>Posso attaccare i lavoratori?</t>
        </is>
      </c>
      <c r="C11" s="10" t="inlineStr">
        <is>
          <t>Si, ma perdi popolarita. I lavoratori non combattono, tornano alla base dell'avversario.</t>
        </is>
      </c>
      <c r="D11" s="9" t="inlineStr">
        <is>
          <t>Media</t>
        </is>
      </c>
      <c r="E11" s="9" t="inlineStr">
        <is>
          <t>Combattimento</t>
        </is>
      </c>
      <c r="F11" s="10" t="inlineStr"/>
      <c r="G11" s="9" t="inlineStr"/>
    </row>
    <row r="12">
      <c r="A12" s="7" t="n">
        <v>9</v>
      </c>
      <c r="B12" s="8" t="inlineStr">
        <is>
          <t>Azione superiore e inferiore: posso fare entrambe?</t>
        </is>
      </c>
      <c r="C12" s="8" t="inlineStr">
        <is>
          <t>Si. Fai prima l'azione superiore, poi l'inferiore. Puoi fare solo una delle due.</t>
        </is>
      </c>
      <c r="D12" s="7" t="inlineStr">
        <is>
          <t>Facile</t>
        </is>
      </c>
      <c r="E12" s="7" t="inlineStr">
        <is>
          <t>Turno</t>
        </is>
      </c>
      <c r="F12" s="8" t="inlineStr"/>
      <c r="G12" s="7" t="inlineStr"/>
    </row>
    <row r="13">
      <c r="A13" s="11" t="n">
        <v>10</v>
      </c>
      <c r="B13" s="12" t="inlineStr">
        <is>
          <t>La fabbrica: cosa offre?</t>
        </is>
      </c>
      <c r="C13" s="12" t="inlineStr">
        <is>
          <t>Una carta fabbrica = 5a sezione azione. Inoltre, la fabbrica vale 3 territori per il punteggio.</t>
        </is>
      </c>
      <c r="D13" s="11" t="inlineStr">
        <is>
          <t>Difficile</t>
        </is>
      </c>
      <c r="E13" s="11" t="inlineStr">
        <is>
          <t>Fabbrica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Root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Tutte le fazioni giocano allo stesso modo?</t>
        </is>
      </c>
      <c r="C4" s="8" t="inlineStr">
        <is>
          <t>No. Ogni fazione ha regole, obiettivi e turni completamente diversi (asimmetrico).</t>
        </is>
      </c>
      <c r="D4" s="7" t="inlineStr">
        <is>
          <t>Facile</t>
        </is>
      </c>
      <c r="E4" s="7" t="inlineStr">
        <is>
          <t>Fazioni</t>
        </is>
      </c>
      <c r="F4" s="8" t="inlineStr"/>
      <c r="G4" s="7" t="inlineStr"/>
    </row>
    <row r="5">
      <c r="A5" s="7" t="n">
        <v>2</v>
      </c>
      <c r="B5" s="8" t="inlineStr">
        <is>
          <t>Come vince la Marchesa de Gatti?</t>
        </is>
      </c>
      <c r="C5" s="8" t="inlineStr">
        <is>
          <t>Raggiungendo 30 punti vittoria costruendo edifici e officine.</t>
        </is>
      </c>
      <c r="D5" s="7" t="inlineStr">
        <is>
          <t>Facile</t>
        </is>
      </c>
      <c r="E5" s="7" t="inlineStr">
        <is>
          <t>Vittoria</t>
        </is>
      </c>
      <c r="F5" s="8" t="inlineStr"/>
      <c r="G5" s="7" t="inlineStr"/>
    </row>
    <row r="6">
      <c r="A6" s="9" t="n">
        <v>3</v>
      </c>
      <c r="B6" s="10" t="inlineStr">
        <is>
          <t>Come vince la Dinasta delle Aquile?</t>
        </is>
      </c>
      <c r="C6" s="10" t="inlineStr">
        <is>
          <t>30 punti o compiendo il decreto (carte ordine). Se non riesce a soddisfare il decreto: crisi.</t>
        </is>
      </c>
      <c r="D6" s="9" t="inlineStr">
        <is>
          <t>Media</t>
        </is>
      </c>
      <c r="E6" s="9" t="inlineStr">
        <is>
          <t>Vittoria</t>
        </is>
      </c>
      <c r="F6" s="10" t="inlineStr"/>
      <c r="G6" s="9" t="inlineStr"/>
    </row>
    <row r="7">
      <c r="A7" s="11" t="n">
        <v>4</v>
      </c>
      <c r="B7" s="12" t="inlineStr">
        <is>
          <t>Cosa succede nella crisi delle Aquile?</t>
        </is>
      </c>
      <c r="C7" s="12" t="inlineStr">
        <is>
          <t>Perdi punti vittoria (1 per carta decreto uccello). Il decreto viene azzerato col nuovo leader.</t>
        </is>
      </c>
      <c r="D7" s="11" t="inlineStr">
        <is>
          <t>Difficile</t>
        </is>
      </c>
      <c r="E7" s="11" t="inlineStr">
        <is>
          <t>Dinasta</t>
        </is>
      </c>
      <c r="F7" s="12" t="inlineStr"/>
      <c r="G7" s="11" t="inlineStr"/>
    </row>
    <row r="8">
      <c r="A8" s="9" t="n">
        <v>5</v>
      </c>
      <c r="B8" s="10" t="inlineStr">
        <is>
          <t>Come funziona il combattimento in Root?</t>
        </is>
      </c>
      <c r="C8" s="10" t="inlineStr">
        <is>
          <t>Attaccante lancia 2 dadi: il piu alto = colpi attaccante, il piu basso = colpi difensore. I colpi non possono superare il numero di pezzi.</t>
        </is>
      </c>
      <c r="D8" s="9" t="inlineStr">
        <is>
          <t>Media</t>
        </is>
      </c>
      <c r="E8" s="9" t="inlineStr">
        <is>
          <t>Combattimento</t>
        </is>
      </c>
      <c r="F8" s="10" t="inlineStr"/>
      <c r="G8" s="9" t="inlineStr"/>
    </row>
    <row r="9">
      <c r="A9" s="11" t="n">
        <v>6</v>
      </c>
      <c r="B9" s="12" t="inlineStr">
        <is>
          <t>L'Alleanza dei Boschi come si espande?</t>
        </is>
      </c>
      <c r="C9" s="12" t="inlineStr">
        <is>
          <t>Piazzando simpatizzanti nelle radure. Quando eliminati, l'avversario pesca carte e l'Alleanza guadagna sostenitori.</t>
        </is>
      </c>
      <c r="D9" s="11" t="inlineStr">
        <is>
          <t>Difficile</t>
        </is>
      </c>
      <c r="E9" s="11" t="inlineStr">
        <is>
          <t>Alleanza</t>
        </is>
      </c>
      <c r="F9" s="12" t="inlineStr"/>
      <c r="G9" s="11" t="inlineStr"/>
    </row>
    <row r="10">
      <c r="A10" s="9" t="n">
        <v>7</v>
      </c>
      <c r="B10" s="10" t="inlineStr">
        <is>
          <t>Il Vagabondo puo attaccare?</t>
        </is>
      </c>
      <c r="C10" s="10" t="inlineStr">
        <is>
          <t>Si, ma diventa ostile verso quella fazione. Usa oggetti per combattere.</t>
        </is>
      </c>
      <c r="D10" s="9" t="inlineStr">
        <is>
          <t>Media</t>
        </is>
      </c>
      <c r="E10" s="9" t="inlineStr">
        <is>
          <t>Vagabondo</t>
        </is>
      </c>
      <c r="F10" s="10" t="inlineStr"/>
      <c r="G10" s="9" t="inlineStr"/>
    </row>
    <row r="11">
      <c r="A11" s="9" t="n">
        <v>8</v>
      </c>
      <c r="B11" s="10" t="inlineStr">
        <is>
          <t>Come funziona il governo delle radure?</t>
        </is>
      </c>
      <c r="C11" s="10" t="inlineStr">
        <is>
          <t>Ogni radura e governata da chi ha piu pezzi (edifici+guerrieri). Pareggio: nessun governatore.</t>
        </is>
      </c>
      <c r="D11" s="9" t="inlineStr">
        <is>
          <t>Media</t>
        </is>
      </c>
      <c r="E11" s="9" t="inlineStr">
        <is>
          <t>Controllo</t>
        </is>
      </c>
      <c r="F11" s="10" t="inlineStr"/>
      <c r="G11" s="9" t="inlineStr"/>
    </row>
    <row r="12">
      <c r="A12" s="9" t="n">
        <v>9</v>
      </c>
      <c r="B12" s="10" t="inlineStr">
        <is>
          <t>Posso muovere da/verso radure nemiche?</t>
        </is>
      </c>
      <c r="C12" s="10" t="inlineStr">
        <is>
          <t>Per muovere, devi governare la radura di partenza O quella di arrivo.</t>
        </is>
      </c>
      <c r="D12" s="9" t="inlineStr">
        <is>
          <t>Media</t>
        </is>
      </c>
      <c r="E12" s="9" t="inlineStr">
        <is>
          <t>Movimento</t>
        </is>
      </c>
      <c r="F12" s="10" t="inlineStr"/>
      <c r="G12" s="9" t="inlineStr"/>
    </row>
    <row r="13">
      <c r="A13" s="7" t="n">
        <v>10</v>
      </c>
      <c r="B13" s="8" t="inlineStr">
        <is>
          <t>Quanti giocatori servono?</t>
        </is>
      </c>
      <c r="C13" s="8" t="inlineStr">
        <is>
          <t>2-4 nel gioco base. 2 giocatori funziona ma con meno interazione.</t>
        </is>
      </c>
      <c r="D13" s="7" t="inlineStr">
        <is>
          <t>Facile</t>
        </is>
      </c>
      <c r="E13" s="7" t="inlineStr">
        <is>
          <t>Setup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44AD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Nemesis</t>
        </is>
      </c>
    </row>
    <row r="2">
      <c r="A2" s="6" t="inlineStr">
        <is>
          <t>Totale: 10 | Facili: 3 | Medie: 4 | Difficili: 3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Quale e l'obiettivo del gioco?</t>
        </is>
      </c>
      <c r="C4" s="8" t="inlineStr">
        <is>
          <t>Completare il tuo obiettivo personale E sopravvivere (ibernazione o fuga con pod). Cooperativo/semi-cooperativo.</t>
        </is>
      </c>
      <c r="D4" s="7" t="inlineStr">
        <is>
          <t>Facile</t>
        </is>
      </c>
      <c r="E4" s="7" t="inlineStr">
        <is>
          <t>Obiettivo</t>
        </is>
      </c>
      <c r="F4" s="8" t="inlineStr"/>
      <c r="G4" s="7" t="inlineStr"/>
    </row>
    <row r="5">
      <c r="A5" s="9" t="n">
        <v>2</v>
      </c>
      <c r="B5" s="10" t="inlineStr">
        <is>
          <t>Come funziona il rumore?</t>
        </is>
      </c>
      <c r="C5" s="10" t="inlineStr">
        <is>
          <t>Ogni movimento in un corridoio crea un segnalino rumore. Se peschi un segnalino in un corridoio con rumore, appare un Intruso.</t>
        </is>
      </c>
      <c r="D5" s="9" t="inlineStr">
        <is>
          <t>Media</t>
        </is>
      </c>
      <c r="E5" s="9" t="inlineStr">
        <is>
          <t>Rumore</t>
        </is>
      </c>
      <c r="F5" s="10" t="inlineStr"/>
      <c r="G5" s="9" t="inlineStr"/>
    </row>
    <row r="6">
      <c r="A6" s="9" t="n">
        <v>3</v>
      </c>
      <c r="B6" s="10" t="inlineStr">
        <is>
          <t>Cosa succede quando un Intruso mi attacca?</t>
        </is>
      </c>
      <c r="C6" s="10" t="inlineStr">
        <is>
          <t>Peschi una carta Ferita. Alcune carte hanno contaminazione (larva aliena). Se peschi 3 ferite gravi, muori.</t>
        </is>
      </c>
      <c r="D6" s="9" t="inlineStr">
        <is>
          <t>Media</t>
        </is>
      </c>
      <c r="E6" s="9" t="inlineStr">
        <is>
          <t>Combattimento</t>
        </is>
      </c>
      <c r="F6" s="10" t="inlineStr"/>
      <c r="G6" s="9" t="inlineStr"/>
    </row>
    <row r="7">
      <c r="A7" s="11" t="n">
        <v>4</v>
      </c>
      <c r="B7" s="12" t="inlineStr">
        <is>
          <t>Come funziona la contaminazione?</t>
        </is>
      </c>
      <c r="C7" s="12" t="inlineStr">
        <is>
          <t>A fine partita, chi e contaminato fa un check. Se la carta contaminazione e "infetto", muori anche se sei sopravvissuto.</t>
        </is>
      </c>
      <c r="D7" s="11" t="inlineStr">
        <is>
          <t>Difficile</t>
        </is>
      </c>
      <c r="E7" s="11" t="inlineStr">
        <is>
          <t>Contaminazione</t>
        </is>
      </c>
      <c r="F7" s="12" t="inlineStr"/>
      <c r="G7" s="11" t="inlineStr"/>
    </row>
    <row r="8">
      <c r="A8" s="7" t="n">
        <v>5</v>
      </c>
      <c r="B8" s="8" t="inlineStr">
        <is>
          <t>Posso fidarmi degli altri giocatori?</t>
        </is>
      </c>
      <c r="C8" s="8" t="inlineStr">
        <is>
          <t>No necessariamente. Ogni giocatore ha un obiettivo segreto che puo richiedere sabotaggio.</t>
        </is>
      </c>
      <c r="D8" s="7" t="inlineStr">
        <is>
          <t>Facile</t>
        </is>
      </c>
      <c r="E8" s="7" t="inlineStr">
        <is>
          <t>Obiettivi</t>
        </is>
      </c>
      <c r="F8" s="8" t="inlineStr"/>
      <c r="G8" s="7" t="inlineStr"/>
    </row>
    <row r="9">
      <c r="A9" s="9" t="n">
        <v>6</v>
      </c>
      <c r="B9" s="10" t="inlineStr">
        <is>
          <t>Come escono nuovi Intrusi?</t>
        </is>
      </c>
      <c r="C9" s="10" t="inlineStr">
        <is>
          <t>Dal sacco Intrusi quando: rumore + segnalino, evento, o esplorazione di stanza.</t>
        </is>
      </c>
      <c r="D9" s="9" t="inlineStr">
        <is>
          <t>Media</t>
        </is>
      </c>
      <c r="E9" s="9" t="inlineStr">
        <is>
          <t>Intrusi</t>
        </is>
      </c>
      <c r="F9" s="10" t="inlineStr"/>
      <c r="G9" s="9" t="inlineStr"/>
    </row>
    <row r="10">
      <c r="A10" s="9" t="n">
        <v>7</v>
      </c>
      <c r="B10" s="10" t="inlineStr">
        <is>
          <t>Come funziona la fuga col pod?</t>
        </is>
      </c>
      <c r="C10" s="10" t="inlineStr">
        <is>
          <t>Raggiungi la sezione pod. Usa un'azione per entrare. Il pod parte se il motore e stato attivato.</t>
        </is>
      </c>
      <c r="D10" s="9" t="inlineStr">
        <is>
          <t>Media</t>
        </is>
      </c>
      <c r="E10" s="9" t="inlineStr">
        <is>
          <t>Fuga</t>
        </is>
      </c>
      <c r="F10" s="10" t="inlineStr"/>
      <c r="G10" s="9" t="inlineStr"/>
    </row>
    <row r="11">
      <c r="A11" s="11" t="n">
        <v>8</v>
      </c>
      <c r="B11" s="12" t="inlineStr">
        <is>
          <t>Cosa succede alla nave se nessuno la gestisce?</t>
        </is>
      </c>
      <c r="C11" s="12" t="inlineStr">
        <is>
          <t>Ogni round si pesca un evento. La nave puo danneggiarsi, decomprimersi, o autodistruggersi.</t>
        </is>
      </c>
      <c r="D11" s="11" t="inlineStr">
        <is>
          <t>Difficile</t>
        </is>
      </c>
      <c r="E11" s="11" t="inlineStr">
        <is>
          <t>Nave</t>
        </is>
      </c>
      <c r="F11" s="12" t="inlineStr"/>
      <c r="G11" s="11" t="inlineStr"/>
    </row>
    <row r="12">
      <c r="A12" s="11" t="n">
        <v>9</v>
      </c>
      <c r="B12" s="12" t="inlineStr">
        <is>
          <t>Posso uccidere la Regina?</t>
        </is>
      </c>
      <c r="C12" s="12" t="inlineStr">
        <is>
          <t>Si, ma e molto difficile. Richiede piu attacchi con armi pesanti. Morta la Regina, gli Intrusi sono piu deboli.</t>
        </is>
      </c>
      <c r="D12" s="11" t="inlineStr">
        <is>
          <t>Difficile</t>
        </is>
      </c>
      <c r="E12" s="11" t="inlineStr">
        <is>
          <t>Combattimento</t>
        </is>
      </c>
      <c r="F12" s="12" t="inlineStr"/>
      <c r="G12" s="11" t="inlineStr"/>
    </row>
    <row r="13">
      <c r="A13" s="7" t="n">
        <v>10</v>
      </c>
      <c r="B13" s="8" t="inlineStr">
        <is>
          <t>Quante azioni ho per turno?</t>
        </is>
      </c>
      <c r="C13" s="8" t="inlineStr">
        <is>
          <t>2 azioni base. Ogni carta azione in mano offre azioni extra ma anche rumore.</t>
        </is>
      </c>
      <c r="D13" s="7" t="inlineStr">
        <is>
          <t>Facile</t>
        </is>
      </c>
      <c r="E13" s="7" t="inlineStr">
        <is>
          <t>Turno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74C3C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Ark Nova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9" t="n">
        <v>1</v>
      </c>
      <c r="B4" s="10" t="inlineStr">
        <is>
          <t>Come funzionano le carte azione?</t>
        </is>
      </c>
      <c r="C4" s="10" t="inlineStr">
        <is>
          <t>5 carte azione con potenza 1-5. Dopo l'uso, la carta va a potenza 1 e le altre scalano.</t>
        </is>
      </c>
      <c r="D4" s="9" t="inlineStr">
        <is>
          <t>Media</t>
        </is>
      </c>
      <c r="E4" s="9" t="inlineStr">
        <is>
          <t>Azioni</t>
        </is>
      </c>
      <c r="F4" s="10" t="inlineStr"/>
      <c r="G4" s="9" t="inlineStr"/>
    </row>
    <row r="5">
      <c r="A5" s="9" t="n">
        <v>2</v>
      </c>
      <c r="B5" s="10" t="inlineStr">
        <is>
          <t>Come si vince?</t>
        </is>
      </c>
      <c r="C5" s="10" t="inlineStr">
        <is>
          <t>Quando il tuo segnalino Appeal e Conservation si incontrano sulla traccia. Piu alto il punto d'incrocio, meglio.</t>
        </is>
      </c>
      <c r="D5" s="9" t="inlineStr">
        <is>
          <t>Media</t>
        </is>
      </c>
      <c r="E5" s="9" t="inlineStr">
        <is>
          <t>Vittoria</t>
        </is>
      </c>
      <c r="F5" s="10" t="inlineStr"/>
      <c r="G5" s="9" t="inlineStr"/>
    </row>
    <row r="6">
      <c r="A6" s="7" t="n">
        <v>3</v>
      </c>
      <c r="B6" s="8" t="inlineStr">
        <is>
          <t>Cosa sono i recinti?</t>
        </is>
      </c>
      <c r="C6" s="8" t="inlineStr">
        <is>
          <t>Piazzi recinti nel tuo zoo. Ogni recinto ha una dimensione. Gli animali occupano spazi nei recinti.</t>
        </is>
      </c>
      <c r="D6" s="7" t="inlineStr">
        <is>
          <t>Facile</t>
        </is>
      </c>
      <c r="E6" s="7" t="inlineStr">
        <is>
          <t>Zoo</t>
        </is>
      </c>
      <c r="F6" s="8" t="inlineStr"/>
      <c r="G6" s="7" t="inlineStr"/>
    </row>
    <row r="7">
      <c r="A7" s="9" t="n">
        <v>4</v>
      </c>
      <c r="B7" s="10" t="inlineStr">
        <is>
          <t>Come funzionano le carte sponsor?</t>
        </is>
      </c>
      <c r="C7" s="10" t="inlineStr">
        <is>
          <t>Giocate dalla mano. Danno bonus una tantum o effetti permanenti. Hanno requisiti.</t>
        </is>
      </c>
      <c r="D7" s="9" t="inlineStr">
        <is>
          <t>Media</t>
        </is>
      </c>
      <c r="E7" s="9" t="inlineStr">
        <is>
          <t>Carte</t>
        </is>
      </c>
      <c r="F7" s="10" t="inlineStr"/>
      <c r="G7" s="9" t="inlineStr"/>
    </row>
    <row r="8">
      <c r="A8" s="7" t="n">
        <v>5</v>
      </c>
      <c r="B8" s="8" t="inlineStr">
        <is>
          <t>Posso giocare un animale senza recinto adatto?</t>
        </is>
      </c>
      <c r="C8" s="8" t="inlineStr">
        <is>
          <t>No. Devi avere un recinto con spazio sufficiente e compatibile col tipo di animale.</t>
        </is>
      </c>
      <c r="D8" s="7" t="inlineStr">
        <is>
          <t>Facile</t>
        </is>
      </c>
      <c r="E8" s="7" t="inlineStr">
        <is>
          <t>Animali</t>
        </is>
      </c>
      <c r="F8" s="8" t="inlineStr"/>
      <c r="G8" s="7" t="inlineStr"/>
    </row>
    <row r="9">
      <c r="A9" s="9" t="n">
        <v>6</v>
      </c>
      <c r="B9" s="10" t="inlineStr">
        <is>
          <t>Come funziona l'azione Associazione?</t>
        </is>
      </c>
      <c r="C9" s="10" t="inlineStr">
        <is>
          <t>Dona a progetti di conservazione. Aumenta il segnalino Conservation. Richiede icone specifiche.</t>
        </is>
      </c>
      <c r="D9" s="9" t="inlineStr">
        <is>
          <t>Media</t>
        </is>
      </c>
      <c r="E9" s="9" t="inlineStr">
        <is>
          <t>Conservazione</t>
        </is>
      </c>
      <c r="F9" s="10" t="inlineStr"/>
      <c r="G9" s="9" t="inlineStr"/>
    </row>
    <row r="10">
      <c r="A10" s="9" t="n">
        <v>7</v>
      </c>
      <c r="B10" s="10" t="inlineStr">
        <is>
          <t>I lavoratori cosa fanno?</t>
        </is>
      </c>
      <c r="C10" s="10" t="inlineStr">
        <is>
          <t>Servono per le pause. Durante la pausa recuperi carte azione e i lavoratori tornano disponibili.</t>
        </is>
      </c>
      <c r="D10" s="9" t="inlineStr">
        <is>
          <t>Media</t>
        </is>
      </c>
      <c r="E10" s="9" t="inlineStr">
        <is>
          <t>Lavoratori</t>
        </is>
      </c>
      <c r="F10" s="10" t="inlineStr"/>
      <c r="G10" s="9" t="inlineStr"/>
    </row>
    <row r="11">
      <c r="A11" s="7" t="n">
        <v>8</v>
      </c>
      <c r="B11" s="8" t="inlineStr">
        <is>
          <t>Quando fai la pausa?</t>
        </is>
      </c>
      <c r="C11" s="8" t="inlineStr">
        <is>
          <t>Quando vuoi (azione gratuita). Recuperi tutte le carte azione, avanzi sulla traccia, reset lavoratori.</t>
        </is>
      </c>
      <c r="D11" s="7" t="inlineStr">
        <is>
          <t>Facile</t>
        </is>
      </c>
      <c r="E11" s="7" t="inlineStr">
        <is>
          <t>Pausa</t>
        </is>
      </c>
      <c r="F11" s="8" t="inlineStr"/>
      <c r="G11" s="7" t="inlineStr"/>
    </row>
    <row r="12">
      <c r="A12" s="11" t="n">
        <v>9</v>
      </c>
      <c r="B12" s="12" t="inlineStr">
        <is>
          <t>Come funziona la mappa del mondo?</t>
        </is>
      </c>
      <c r="C12" s="12" t="inlineStr">
        <is>
          <t>Piazzi cubetti partner nei continenti. Servono per sbloccare bonus e soddisfare requisiti carte.</t>
        </is>
      </c>
      <c r="D12" s="11" t="inlineStr">
        <is>
          <t>Difficile</t>
        </is>
      </c>
      <c r="E12" s="11" t="inlineStr">
        <is>
          <t>Mappa</t>
        </is>
      </c>
      <c r="F12" s="12" t="inlineStr"/>
      <c r="G12" s="11" t="inlineStr"/>
    </row>
    <row r="13">
      <c r="A13" s="11" t="n">
        <v>10</v>
      </c>
      <c r="B13" s="12" t="inlineStr">
        <is>
          <t>Animali X-Token?</t>
        </is>
      </c>
      <c r="C13" s="12" t="inlineStr">
        <is>
          <t>Animali con X: la dimensione scala con la potenza della carta Animali quando la giochi.</t>
        </is>
      </c>
      <c r="D13" s="11" t="inlineStr">
        <is>
          <t>Difficile</t>
        </is>
      </c>
      <c r="E13" s="11" t="inlineStr">
        <is>
          <t>Animali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74C3C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Agricola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Quanti lavoratori ho all'inizio?</t>
        </is>
      </c>
      <c r="C4" s="8" t="inlineStr">
        <is>
          <t>2 familiari (adulti). Puoi avere fino a 5 con la crescita famiglia.</t>
        </is>
      </c>
      <c r="D4" s="7" t="inlineStr">
        <is>
          <t>Facile</t>
        </is>
      </c>
      <c r="E4" s="7" t="inlineStr">
        <is>
          <t>Setup</t>
        </is>
      </c>
      <c r="F4" s="8" t="inlineStr"/>
      <c r="G4" s="7" t="inlineStr"/>
    </row>
    <row r="5">
      <c r="A5" s="9" t="n">
        <v>2</v>
      </c>
      <c r="B5" s="10" t="inlineStr">
        <is>
          <t>Cosa succede se non posso nutrire la famiglia?</t>
        </is>
      </c>
      <c r="C5" s="10" t="inlineStr">
        <is>
          <t>Per ogni cibo mancante prendi 1 carta Accattonaggio (-3 punti a fine partita).</t>
        </is>
      </c>
      <c r="D5" s="9" t="inlineStr">
        <is>
          <t>Media</t>
        </is>
      </c>
      <c r="E5" s="9" t="inlineStr">
        <is>
          <t>Raccolto</t>
        </is>
      </c>
      <c r="F5" s="10" t="inlineStr"/>
      <c r="G5" s="9" t="inlineStr"/>
    </row>
    <row r="6">
      <c r="A6" s="7" t="n">
        <v>3</v>
      </c>
      <c r="B6" s="8" t="inlineStr">
        <is>
          <t>Quando avviene il raccolto?</t>
        </is>
      </c>
      <c r="C6" s="8" t="inlineStr">
        <is>
          <t>Alla fine dei round 4, 7, 9, 11, 13, 14. Semina, alleva animali, nutri la famiglia.</t>
        </is>
      </c>
      <c r="D6" s="7" t="inlineStr">
        <is>
          <t>Facile</t>
        </is>
      </c>
      <c r="E6" s="7" t="inlineStr">
        <is>
          <t>Raccolto</t>
        </is>
      </c>
      <c r="F6" s="8" t="inlineStr"/>
      <c r="G6" s="7" t="inlineStr"/>
    </row>
    <row r="7">
      <c r="A7" s="9" t="n">
        <v>4</v>
      </c>
      <c r="B7" s="10" t="inlineStr">
        <is>
          <t>Come funziona la crescita famiglia?</t>
        </is>
      </c>
      <c r="C7" s="10" t="inlineStr">
        <is>
          <t>Azione speciale: aggiungi 1 familiare. Devi avere una stanza libera nella casa.</t>
        </is>
      </c>
      <c r="D7" s="9" t="inlineStr">
        <is>
          <t>Media</t>
        </is>
      </c>
      <c r="E7" s="9" t="inlineStr">
        <is>
          <t>Famiglia</t>
        </is>
      </c>
      <c r="F7" s="10" t="inlineStr"/>
      <c r="G7" s="9" t="inlineStr"/>
    </row>
    <row r="8">
      <c r="A8" s="7" t="n">
        <v>5</v>
      </c>
      <c r="B8" s="8" t="inlineStr">
        <is>
          <t>Posso piazzare piu lavoratori sullo stesso spazio?</t>
        </is>
      </c>
      <c r="C8" s="8" t="inlineStr">
        <is>
          <t>No. Ogni spazio azione accoglie 1 solo lavoratore per round.</t>
        </is>
      </c>
      <c r="D8" s="7" t="inlineStr">
        <is>
          <t>Facile</t>
        </is>
      </c>
      <c r="E8" s="7" t="inlineStr">
        <is>
          <t>Worker Placement</t>
        </is>
      </c>
      <c r="F8" s="8" t="inlineStr"/>
      <c r="G8" s="7" t="inlineStr"/>
    </row>
    <row r="9">
      <c r="A9" s="9" t="n">
        <v>6</v>
      </c>
      <c r="B9" s="10" t="inlineStr">
        <is>
          <t>Come funzionano le carte Occupazione?</t>
        </is>
      </c>
      <c r="C9" s="10" t="inlineStr">
        <is>
          <t>Giocale usando l'azione appropriata. Danno bonus permanenti o una tantum.</t>
        </is>
      </c>
      <c r="D9" s="9" t="inlineStr">
        <is>
          <t>Media</t>
        </is>
      </c>
      <c r="E9" s="9" t="inlineStr">
        <is>
          <t>Carte</t>
        </is>
      </c>
      <c r="F9" s="10" t="inlineStr"/>
      <c r="G9" s="9" t="inlineStr"/>
    </row>
    <row r="10">
      <c r="A10" s="9" t="n">
        <v>7</v>
      </c>
      <c r="B10" s="10" t="inlineStr">
        <is>
          <t>Differenza tra Miglioramento Minore e Maggiore?</t>
        </is>
      </c>
      <c r="C10" s="10" t="inlineStr">
        <is>
          <t>Minori: da carte personali, costi bassi. Maggiori: disponibili a tutti, piu potenti, unici.</t>
        </is>
      </c>
      <c r="D10" s="9" t="inlineStr">
        <is>
          <t>Media</t>
        </is>
      </c>
      <c r="E10" s="9" t="inlineStr">
        <is>
          <t>Miglioramenti</t>
        </is>
      </c>
      <c r="F10" s="10" t="inlineStr"/>
      <c r="G10" s="9" t="inlineStr"/>
    </row>
    <row r="11">
      <c r="A11" s="11" t="n">
        <v>8</v>
      </c>
      <c r="B11" s="12" t="inlineStr">
        <is>
          <t>Come si calcolano i punti finali?</t>
        </is>
      </c>
      <c r="C11" s="12" t="inlineStr">
        <is>
          <t>Punti per: campi, pascoli, grano, verdure, pecore, cinghiali, bovini, stanze, familiari, carte. Penalita per categorie vuote.</t>
        </is>
      </c>
      <c r="D11" s="11" t="inlineStr">
        <is>
          <t>Difficile</t>
        </is>
      </c>
      <c r="E11" s="11" t="inlineStr">
        <is>
          <t>Punteggio</t>
        </is>
      </c>
      <c r="F11" s="12" t="inlineStr"/>
      <c r="G11" s="11" t="inlineStr"/>
    </row>
    <row r="12">
      <c r="A12" s="9" t="n">
        <v>9</v>
      </c>
      <c r="B12" s="10" t="inlineStr">
        <is>
          <t>Posso ristrutturare la casa?</t>
        </is>
      </c>
      <c r="C12" s="10" t="inlineStr">
        <is>
          <t>Si. Da legno ad argilla, da argilla a pietra. Richiede materiali e un'azione.</t>
        </is>
      </c>
      <c r="D12" s="9" t="inlineStr">
        <is>
          <t>Media</t>
        </is>
      </c>
      <c r="E12" s="9" t="inlineStr">
        <is>
          <t>Casa</t>
        </is>
      </c>
      <c r="F12" s="10" t="inlineStr"/>
      <c r="G12" s="9" t="inlineStr"/>
    </row>
    <row r="13">
      <c r="A13" s="11" t="n">
        <v>10</v>
      </c>
      <c r="B13" s="12" t="inlineStr">
        <is>
          <t>Animali senza pascolo?</t>
        </is>
      </c>
      <c r="C13" s="12" t="inlineStr">
        <is>
          <t>Puoi tenere 1 animale in casa (come pet). Gli altri necessitano pascoli recintati.</t>
        </is>
      </c>
      <c r="D13" s="11" t="inlineStr">
        <is>
          <t>Difficile</t>
        </is>
      </c>
      <c r="E13" s="11" t="inlineStr">
        <is>
          <t>Animali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E44AD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Spirit Island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9" t="n">
        <v>1</v>
      </c>
      <c r="B4" s="10" t="inlineStr">
        <is>
          <t>Come si vince?</t>
        </is>
      </c>
      <c r="C4" s="10" t="inlineStr">
        <is>
          <t>Distruggendo abbastanza citta/paesi degli Invasori. La condizione dipende dal livello di Terrore raggiunto.</t>
        </is>
      </c>
      <c r="D4" s="9" t="inlineStr">
        <is>
          <t>Media</t>
        </is>
      </c>
      <c r="E4" s="9" t="inlineStr">
        <is>
          <t>Vittoria</t>
        </is>
      </c>
      <c r="F4" s="10" t="inlineStr"/>
      <c r="G4" s="9" t="inlineStr"/>
    </row>
    <row r="5">
      <c r="A5" s="9" t="n">
        <v>2</v>
      </c>
      <c r="B5" s="10" t="inlineStr">
        <is>
          <t>Come funziona il Terrore?</t>
        </is>
      </c>
      <c r="C5" s="10" t="inlineStr">
        <is>
          <t>Distruggendo strutture guadagni Terrore. 4 carte Terrore = livello successivo. Livello piu alto = vittoria piu facile.</t>
        </is>
      </c>
      <c r="D5" s="9" t="inlineStr">
        <is>
          <t>Media</t>
        </is>
      </c>
      <c r="E5" s="9" t="inlineStr">
        <is>
          <t>Terrore</t>
        </is>
      </c>
      <c r="F5" s="10" t="inlineStr"/>
      <c r="G5" s="9" t="inlineStr"/>
    </row>
    <row r="6">
      <c r="A6" s="9" t="n">
        <v>3</v>
      </c>
      <c r="B6" s="10" t="inlineStr">
        <is>
          <t>Cosa sono i poteri Innate?</t>
        </is>
      </c>
      <c r="C6" s="10" t="inlineStr">
        <is>
          <t>Poteri stampati sullo Spirito. Si attivano automaticamente se hai giocato abbastanza elementi corrispondenti.</t>
        </is>
      </c>
      <c r="D6" s="9" t="inlineStr">
        <is>
          <t>Media</t>
        </is>
      </c>
      <c r="E6" s="9" t="inlineStr">
        <is>
          <t>Poteri</t>
        </is>
      </c>
      <c r="F6" s="10" t="inlineStr"/>
      <c r="G6" s="9" t="inlineStr"/>
    </row>
    <row r="7">
      <c r="A7" s="7" t="n">
        <v>4</v>
      </c>
      <c r="B7" s="8" t="inlineStr">
        <is>
          <t>Differenza tra poteri Veloci e Lenti?</t>
        </is>
      </c>
      <c r="C7" s="8" t="inlineStr">
        <is>
          <t>Veloci: si risolvono PRIMA dell'azione degli Invasori. Lenti: DOPO.</t>
        </is>
      </c>
      <c r="D7" s="7" t="inlineStr">
        <is>
          <t>Facile</t>
        </is>
      </c>
      <c r="E7" s="7" t="inlineStr">
        <is>
          <t>Poteri</t>
        </is>
      </c>
      <c r="F7" s="8" t="inlineStr"/>
      <c r="G7" s="7" t="inlineStr"/>
    </row>
    <row r="8">
      <c r="A8" s="9" t="n">
        <v>5</v>
      </c>
      <c r="B8" s="10" t="inlineStr">
        <is>
          <t>Come funziona la fase Invasori?</t>
        </is>
      </c>
      <c r="C8" s="10" t="inlineStr">
        <is>
          <t>3 passi: 1)Saccheggio (danni alla terra/Dahan), 2)Costruisci (nuove strutture), 3)Esplora (nuovi territori).</t>
        </is>
      </c>
      <c r="D8" s="9" t="inlineStr">
        <is>
          <t>Media</t>
        </is>
      </c>
      <c r="E8" s="9" t="inlineStr">
        <is>
          <t>Invasori</t>
        </is>
      </c>
      <c r="F8" s="10" t="inlineStr"/>
      <c r="G8" s="9" t="inlineStr"/>
    </row>
    <row r="9">
      <c r="A9" s="11" t="n">
        <v>6</v>
      </c>
      <c r="B9" s="12" t="inlineStr">
        <is>
          <t>Cosa succede se la terra viene distrutta?</t>
        </is>
      </c>
      <c r="C9" s="12" t="inlineStr">
        <is>
          <t>Diventa "rovinata". Molti effetti negativi. Troppa rovina = sconfitta.</t>
        </is>
      </c>
      <c r="D9" s="11" t="inlineStr">
        <is>
          <t>Difficile</t>
        </is>
      </c>
      <c r="E9" s="11" t="inlineStr">
        <is>
          <t>Rovina</t>
        </is>
      </c>
      <c r="F9" s="12" t="inlineStr"/>
      <c r="G9" s="11" t="inlineStr"/>
    </row>
    <row r="10">
      <c r="A10" s="9" t="n">
        <v>7</v>
      </c>
      <c r="B10" s="10" t="inlineStr">
        <is>
          <t>Posso giocare poteri ovunque?</t>
        </is>
      </c>
      <c r="C10" s="10" t="inlineStr">
        <is>
          <t>No. Ogni potere ha un raggio (Range) dal tuo Sacro Sito. Range 0 = solo dove hai presenza.</t>
        </is>
      </c>
      <c r="D10" s="9" t="inlineStr">
        <is>
          <t>Media</t>
        </is>
      </c>
      <c r="E10" s="9" t="inlineStr">
        <is>
          <t>Poteri</t>
        </is>
      </c>
      <c r="F10" s="10" t="inlineStr"/>
      <c r="G10" s="9" t="inlineStr"/>
    </row>
    <row r="11">
      <c r="A11" s="7" t="n">
        <v>8</v>
      </c>
      <c r="B11" s="8" t="inlineStr">
        <is>
          <t>Come cresco (aggiungo presenza)?</t>
        </is>
      </c>
      <c r="C11" s="8" t="inlineStr">
        <is>
          <t>Nella fase Crescita, scegli opzioni dal tuo pannello: aggiungi presenza, peschi carte, guadagni energia.</t>
        </is>
      </c>
      <c r="D11" s="7" t="inlineStr">
        <is>
          <t>Facile</t>
        </is>
      </c>
      <c r="E11" s="7" t="inlineStr">
        <is>
          <t>Crescita</t>
        </is>
      </c>
      <c r="F11" s="8" t="inlineStr"/>
      <c r="G11" s="7" t="inlineStr"/>
    </row>
    <row r="12">
      <c r="A12" s="11" t="n">
        <v>9</v>
      </c>
      <c r="B12" s="12" t="inlineStr">
        <is>
          <t>Quando si perde?</t>
        </is>
      </c>
      <c r="C12" s="12" t="inlineStr">
        <is>
          <t>Se un qualsiasi Spirito perde tutta la presenza, o se il mazzo Invasori finisce, o troppa rovina.</t>
        </is>
      </c>
      <c r="D12" s="11" t="inlineStr">
        <is>
          <t>Difficile</t>
        </is>
      </c>
      <c r="E12" s="11" t="inlineStr">
        <is>
          <t>Sconfitta</t>
        </is>
      </c>
      <c r="F12" s="12" t="inlineStr"/>
      <c r="G12" s="11" t="inlineStr"/>
    </row>
    <row r="13">
      <c r="A13" s="7" t="n">
        <v>10</v>
      </c>
      <c r="B13" s="8" t="inlineStr">
        <is>
          <t>I Dahan chi sono?</t>
        </is>
      </c>
      <c r="C13" s="8" t="inlineStr">
        <is>
          <t>Nativi dell'isola. Contrattaccano se attaccati dagli Invasori. Li puoi spostare e aiutare.</t>
        </is>
      </c>
      <c r="D13" s="7" t="inlineStr">
        <is>
          <t>Facile</t>
        </is>
      </c>
      <c r="E13" s="7" t="inlineStr">
        <is>
          <t>Dahan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Everdell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Quante azioni per turno?</t>
        </is>
      </c>
      <c r="C4" s="8" t="inlineStr">
        <is>
          <t>1 azione: piazzare lavoratore, giocare carta, o preparare la stagione successiva.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Limite carte in citta?</t>
        </is>
      </c>
      <c r="C5" s="8" t="inlineStr">
        <is>
          <t>15 carte massimo nella tua citta (costruzioni + creature).</t>
        </is>
      </c>
      <c r="D5" s="7" t="inlineStr">
        <is>
          <t>Facile</t>
        </is>
      </c>
      <c r="E5" s="7" t="inlineStr">
        <is>
          <t>Citta</t>
        </is>
      </c>
      <c r="F5" s="8" t="inlineStr"/>
      <c r="G5" s="7" t="inlineStr"/>
    </row>
    <row r="6">
      <c r="A6" s="9" t="n">
        <v>3</v>
      </c>
      <c r="B6" s="10" t="inlineStr">
        <is>
          <t>Come funzionano le stagioni?</t>
        </is>
      </c>
      <c r="C6" s="10" t="inlineStr">
        <is>
          <t>4 stagioni. Quando non puoi/vuoi fare altro, prepari la prossima stagione e recuperi lavoratori.</t>
        </is>
      </c>
      <c r="D6" s="9" t="inlineStr">
        <is>
          <t>Media</t>
        </is>
      </c>
      <c r="E6" s="9" t="inlineStr">
        <is>
          <t>Stagioni</t>
        </is>
      </c>
      <c r="F6" s="10" t="inlineStr"/>
      <c r="G6" s="9" t="inlineStr"/>
    </row>
    <row r="7">
      <c r="A7" s="9" t="n">
        <v>4</v>
      </c>
      <c r="B7" s="10" t="inlineStr">
        <is>
          <t>Carte costruzione vs creature?</t>
        </is>
      </c>
      <c r="C7" s="10" t="inlineStr">
        <is>
          <t>Costruzioni: permanenti, danno bonus. Creature: si associano a costruzioni per bonus extra.</t>
        </is>
      </c>
      <c r="D7" s="9" t="inlineStr">
        <is>
          <t>Media</t>
        </is>
      </c>
      <c r="E7" s="9" t="inlineStr">
        <is>
          <t>Carte</t>
        </is>
      </c>
      <c r="F7" s="10" t="inlineStr"/>
      <c r="G7" s="9" t="inlineStr"/>
    </row>
    <row r="8">
      <c r="A8" s="9" t="n">
        <v>5</v>
      </c>
      <c r="B8" s="10" t="inlineStr">
        <is>
          <t>Posso giocare una carta gratis?</t>
        </is>
      </c>
      <c r="C8" s="10" t="inlineStr">
        <is>
          <t>Si, se hai la costruzione corrispondente nella citta (simbolo di associazione). Una volta per costruzione.</t>
        </is>
      </c>
      <c r="D8" s="9" t="inlineStr">
        <is>
          <t>Media</t>
        </is>
      </c>
      <c r="E8" s="9" t="inlineStr">
        <is>
          <t>Carte</t>
        </is>
      </c>
      <c r="F8" s="10" t="inlineStr"/>
      <c r="G8" s="9" t="inlineStr"/>
    </row>
    <row r="9">
      <c r="A9" s="9" t="n">
        <v>6</v>
      </c>
      <c r="B9" s="10" t="inlineStr">
        <is>
          <t>Come si calcolano i punti?</t>
        </is>
      </c>
      <c r="C9" s="10" t="inlineStr">
        <is>
          <t>Somma punti di tutte le carte in citta + punti da Eventi + risorse su carte + bonus speciali.</t>
        </is>
      </c>
      <c r="D9" s="9" t="inlineStr">
        <is>
          <t>Media</t>
        </is>
      </c>
      <c r="E9" s="9" t="inlineStr">
        <is>
          <t>Punteggio</t>
        </is>
      </c>
      <c r="F9" s="10" t="inlineStr"/>
      <c r="G9" s="9" t="inlineStr"/>
    </row>
    <row r="10">
      <c r="A10" s="9" t="n">
        <v>7</v>
      </c>
      <c r="B10" s="10" t="inlineStr">
        <is>
          <t>Cosa sono gli Eventi speciali?</t>
        </is>
      </c>
      <c r="C10" s="10" t="inlineStr">
        <is>
          <t>Carte evento al centro del tavolo. Li reclami quando soddisfi i requisiti (combinazione carte in citta).</t>
        </is>
      </c>
      <c r="D10" s="9" t="inlineStr">
        <is>
          <t>Media</t>
        </is>
      </c>
      <c r="E10" s="9" t="inlineStr">
        <is>
          <t>Eventi</t>
        </is>
      </c>
      <c r="F10" s="10" t="inlineStr"/>
      <c r="G10" s="9" t="inlineStr"/>
    </row>
    <row r="11">
      <c r="A11" s="7" t="n">
        <v>8</v>
      </c>
      <c r="B11" s="8" t="inlineStr">
        <is>
          <t>Quando finisce la partita?</t>
        </is>
      </c>
      <c r="C11" s="8" t="inlineStr">
        <is>
          <t>Quando tutti i giocatori hanno completato l'autunno (4a stagione) e non hanno piu azioni.</t>
        </is>
      </c>
      <c r="D11" s="7" t="inlineStr">
        <is>
          <t>Facile</t>
        </is>
      </c>
      <c r="E11" s="7" t="inlineStr">
        <is>
          <t>Fine Partita</t>
        </is>
      </c>
      <c r="F11" s="8" t="inlineStr"/>
      <c r="G11" s="7" t="inlineStr"/>
    </row>
    <row r="12">
      <c r="A12" s="11" t="n">
        <v>9</v>
      </c>
      <c r="B12" s="12" t="inlineStr">
        <is>
          <t>Carte uniche vs comuni?</t>
        </is>
      </c>
      <c r="C12" s="12" t="inlineStr">
        <is>
          <t>Uniche (viola): max 1 copia nella citta. Comuni (verde): fino a 2 copie.</t>
        </is>
      </c>
      <c r="D12" s="11" t="inlineStr">
        <is>
          <t>Difficile</t>
        </is>
      </c>
      <c r="E12" s="11" t="inlineStr">
        <is>
          <t>Carte</t>
        </is>
      </c>
      <c r="F12" s="12" t="inlineStr"/>
      <c r="G12" s="11" t="inlineStr"/>
    </row>
    <row r="13">
      <c r="A13" s="11" t="n">
        <v>10</v>
      </c>
      <c r="B13" s="12" t="inlineStr">
        <is>
          <t>Il Cimitero come funziona?</t>
        </is>
      </c>
      <c r="C13" s="12" t="inlineStr">
        <is>
          <t>Quando giochi una carta oltre il limite di 15 o per necessita, scarti una carta. Va nel prato (scarti comuni).</t>
        </is>
      </c>
      <c r="D13" s="11" t="inlineStr">
        <is>
          <t>Difficile</t>
        </is>
      </c>
      <c r="E13" s="11" t="inlineStr">
        <is>
          <t>Citta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Dixit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Come funziona il turno del narratore?</t>
        </is>
      </c>
      <c r="C4" s="8" t="inlineStr">
        <is>
          <t>Scegli una carta dalla mano. Di una frase/parola che la descrive. Gli altri scelgono una carta simile.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Come si vota?</t>
        </is>
      </c>
      <c r="C5" s="8" t="inlineStr">
        <is>
          <t>Le carte vengono mescolate e rivelate. Tutti (tranne il narratore) votano quale pensano sia quella del narratore.</t>
        </is>
      </c>
      <c r="D5" s="7" t="inlineStr">
        <is>
          <t>Facile</t>
        </is>
      </c>
      <c r="E5" s="7" t="inlineStr">
        <is>
          <t>Voto</t>
        </is>
      </c>
      <c r="F5" s="8" t="inlineStr"/>
      <c r="G5" s="7" t="inlineStr"/>
    </row>
    <row r="6">
      <c r="A6" s="9" t="n">
        <v>3</v>
      </c>
      <c r="B6" s="10" t="inlineStr">
        <is>
          <t>Quando il narratore prende punti?</t>
        </is>
      </c>
      <c r="C6" s="10" t="inlineStr">
        <is>
          <t>Solo se ALCUNI (non tutti) indovinano. Se tutti o nessuno indovina, il narratore prende 0 punti.</t>
        </is>
      </c>
      <c r="D6" s="9" t="inlineStr">
        <is>
          <t>Media</t>
        </is>
      </c>
      <c r="E6" s="9" t="inlineStr">
        <is>
          <t>Punteggio</t>
        </is>
      </c>
      <c r="F6" s="10" t="inlineStr"/>
      <c r="G6" s="9" t="inlineStr"/>
    </row>
    <row r="7">
      <c r="A7" s="9" t="n">
        <v>4</v>
      </c>
      <c r="B7" s="10" t="inlineStr">
        <is>
          <t>Punti per chi indovina?</t>
        </is>
      </c>
      <c r="C7" s="10" t="inlineStr">
        <is>
          <t>3 punti per chi indovina la carta del narratore. Il narratore prende 3 punti se qualcuno (non tutti) indovina.</t>
        </is>
      </c>
      <c r="D7" s="9" t="inlineStr">
        <is>
          <t>Media</t>
        </is>
      </c>
      <c r="E7" s="9" t="inlineStr">
        <is>
          <t>Punteggio</t>
        </is>
      </c>
      <c r="F7" s="10" t="inlineStr"/>
      <c r="G7" s="9" t="inlineStr"/>
    </row>
    <row r="8">
      <c r="A8" s="9" t="n">
        <v>5</v>
      </c>
      <c r="B8" s="10" t="inlineStr">
        <is>
          <t>Punti per le carte "disturbatore"?</t>
        </is>
      </c>
      <c r="C8" s="10" t="inlineStr">
        <is>
          <t>Ogni giocatore che riceve voti sulla propria carta (non del narratore) prende 1 punto per voto ricevuto.</t>
        </is>
      </c>
      <c r="D8" s="9" t="inlineStr">
        <is>
          <t>Media</t>
        </is>
      </c>
      <c r="E8" s="9" t="inlineStr">
        <is>
          <t>Punteggio</t>
        </is>
      </c>
      <c r="F8" s="10" t="inlineStr"/>
      <c r="G8" s="9" t="inlineStr"/>
    </row>
    <row r="9">
      <c r="A9" s="11" t="n">
        <v>6</v>
      </c>
      <c r="B9" s="12" t="inlineStr">
        <is>
          <t>Se tutti indovinano?</t>
        </is>
      </c>
      <c r="C9" s="12" t="inlineStr">
        <is>
          <t>Narratore 0 punti. Tutti gli altri 2 punti + eventuali voti sulle proprie carte.</t>
        </is>
      </c>
      <c r="D9" s="11" t="inlineStr">
        <is>
          <t>Difficile</t>
        </is>
      </c>
      <c r="E9" s="11" t="inlineStr">
        <is>
          <t>Punteggio</t>
        </is>
      </c>
      <c r="F9" s="12" t="inlineStr"/>
      <c r="G9" s="11" t="inlineStr"/>
    </row>
    <row r="10">
      <c r="A10" s="7" t="n">
        <v>7</v>
      </c>
      <c r="B10" s="8" t="inlineStr">
        <is>
          <t>Quante carte in mano?</t>
        </is>
      </c>
      <c r="C10" s="8" t="inlineStr">
        <is>
          <t>6 carte in mano. Dopo ogni turno, peschi per tornare a 6.</t>
        </is>
      </c>
      <c r="D10" s="7" t="inlineStr">
        <is>
          <t>Facile</t>
        </is>
      </c>
      <c r="E10" s="7" t="inlineStr">
        <is>
          <t>Carte</t>
        </is>
      </c>
      <c r="F10" s="8" t="inlineStr"/>
      <c r="G10" s="7" t="inlineStr"/>
    </row>
    <row r="11">
      <c r="A11" s="7" t="n">
        <v>8</v>
      </c>
      <c r="B11" s="8" t="inlineStr">
        <is>
          <t>Quando finisce?</t>
        </is>
      </c>
      <c r="C11" s="8" t="inlineStr">
        <is>
          <t>Quando il mazzo si esaurisce. Chi ha piu punti vince.</t>
        </is>
      </c>
      <c r="D11" s="7" t="inlineStr">
        <is>
          <t>Facile</t>
        </is>
      </c>
      <c r="E11" s="7" t="inlineStr">
        <is>
          <t>Fine Partita</t>
        </is>
      </c>
      <c r="F11" s="8" t="inlineStr"/>
      <c r="G11" s="7" t="inlineStr"/>
    </row>
    <row r="12">
      <c r="A12" s="9" t="n">
        <v>9</v>
      </c>
      <c r="B12" s="10" t="inlineStr">
        <is>
          <t>Posso votare per la mia carta?</t>
        </is>
      </c>
      <c r="C12" s="10" t="inlineStr">
        <is>
          <t>No. Non puoi votare per la carta che hai giocato tu.</t>
        </is>
      </c>
      <c r="D12" s="9" t="inlineStr">
        <is>
          <t>Media</t>
        </is>
      </c>
      <c r="E12" s="9" t="inlineStr">
        <is>
          <t>Voto</t>
        </is>
      </c>
      <c r="F12" s="10" t="inlineStr"/>
      <c r="G12" s="9" t="inlineStr"/>
    </row>
    <row r="13">
      <c r="A13" s="11" t="n">
        <v>10</v>
      </c>
      <c r="B13" s="12" t="inlineStr">
        <is>
          <t>L'indizio puo essere un suono o un gesto?</t>
        </is>
      </c>
      <c r="C13" s="12" t="inlineStr">
        <is>
          <t>Dipende dalle varianti. Regole base: una frase, parola, o suono. Molti gruppi permettono gesti.</t>
        </is>
      </c>
      <c r="D13" s="11" t="inlineStr">
        <is>
          <t>Difficile</t>
        </is>
      </c>
      <c r="E13" s="11" t="inlineStr">
        <is>
          <t>Indizi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CC71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Mysterium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Qual e il ruolo del Fantasma?</t>
        </is>
      </c>
      <c r="C4" s="8" t="inlineStr">
        <is>
          <t>Da indizi visivi (carte visione) ai medium per fargli indovinare sospettato, luogo e arma.</t>
        </is>
      </c>
      <c r="D4" s="7" t="inlineStr">
        <is>
          <t>Facile</t>
        </is>
      </c>
      <c r="E4" s="7" t="inlineStr">
        <is>
          <t>Ruoli</t>
        </is>
      </c>
      <c r="F4" s="8" t="inlineStr"/>
      <c r="G4" s="7" t="inlineStr"/>
    </row>
    <row r="5">
      <c r="A5" s="7" t="n">
        <v>2</v>
      </c>
      <c r="B5" s="8" t="inlineStr">
        <is>
          <t>Quanti round ci sono?</t>
        </is>
      </c>
      <c r="C5" s="8" t="inlineStr">
        <is>
          <t>7 round. Se i medium non risolvono entro 7 round, tutti perdono.</t>
        </is>
      </c>
      <c r="D5" s="7" t="inlineStr">
        <is>
          <t>Facile</t>
        </is>
      </c>
      <c r="E5" s="7" t="inlineStr">
        <is>
          <t>Struttura</t>
        </is>
      </c>
      <c r="F5" s="8" t="inlineStr"/>
      <c r="G5" s="7" t="inlineStr"/>
    </row>
    <row r="6">
      <c r="A6" s="9" t="n">
        <v>3</v>
      </c>
      <c r="B6" s="10" t="inlineStr">
        <is>
          <t>Il Fantasma puo parlare?</t>
        </is>
      </c>
      <c r="C6" s="10" t="inlineStr">
        <is>
          <t>No. Comunica SOLO attraverso le carte visione. No gesti, no parole, no espressioni.</t>
        </is>
      </c>
      <c r="D6" s="9" t="inlineStr">
        <is>
          <t>Media</t>
        </is>
      </c>
      <c r="E6" s="9" t="inlineStr">
        <is>
          <t>Fantasma</t>
        </is>
      </c>
      <c r="F6" s="10" t="inlineStr"/>
      <c r="G6" s="9" t="inlineStr"/>
    </row>
    <row r="7">
      <c r="A7" s="11" t="n">
        <v>4</v>
      </c>
      <c r="B7" s="12" t="inlineStr">
        <is>
          <t>Come funziona la fase finale?</t>
        </is>
      </c>
      <c r="C7" s="12" t="inlineStr">
        <is>
          <t>Tutti i medium votano su chi e il colpevole. Il numero di carte visione visibili dipende dalla loro posizione sul tracciato.</t>
        </is>
      </c>
      <c r="D7" s="11" t="inlineStr">
        <is>
          <t>Difficile</t>
        </is>
      </c>
      <c r="E7" s="11" t="inlineStr">
        <is>
          <t>Finale</t>
        </is>
      </c>
      <c r="F7" s="12" t="inlineStr"/>
      <c r="G7" s="11" t="inlineStr"/>
    </row>
    <row r="8">
      <c r="A8" s="7" t="n">
        <v>5</v>
      </c>
      <c r="B8" s="8" t="inlineStr">
        <is>
          <t>E un gioco cooperativo?</t>
        </is>
      </c>
      <c r="C8" s="8" t="inlineStr">
        <is>
          <t>Si. Il Fantasma e i medium vincono o perdono insieme.</t>
        </is>
      </c>
      <c r="D8" s="7" t="inlineStr">
        <is>
          <t>Facile</t>
        </is>
      </c>
      <c r="E8" s="7" t="inlineStr">
        <is>
          <t>Cooperativo</t>
        </is>
      </c>
      <c r="F8" s="8" t="inlineStr"/>
      <c r="G8" s="7" t="inlineStr"/>
    </row>
    <row r="9">
      <c r="A9" s="9" t="n">
        <v>6</v>
      </c>
      <c r="B9" s="10" t="inlineStr">
        <is>
          <t>Cosa sono i segnalini intuizione?</t>
        </is>
      </c>
      <c r="C9" s="10" t="inlineStr">
        <is>
          <t>I medium che indovinano le visioni di altri giocatori guadagnano segnalini. Servono per la fase finale.</t>
        </is>
      </c>
      <c r="D9" s="9" t="inlineStr">
        <is>
          <t>Media</t>
        </is>
      </c>
      <c r="E9" s="9" t="inlineStr">
        <is>
          <t>Intuizione</t>
        </is>
      </c>
      <c r="F9" s="10" t="inlineStr"/>
      <c r="G9" s="9" t="inlineStr"/>
    </row>
    <row r="10">
      <c r="A10" s="9" t="n">
        <v>7</v>
      </c>
      <c r="B10" s="10" t="inlineStr">
        <is>
          <t>Quante carte visione da il Fantasma?</t>
        </is>
      </c>
      <c r="C10" s="10" t="inlineStr">
        <is>
          <t>Almeno 1 carta visione per medium per round. Il Fantasma sceglie quante darne.</t>
        </is>
      </c>
      <c r="D10" s="9" t="inlineStr">
        <is>
          <t>Media</t>
        </is>
      </c>
      <c r="E10" s="9" t="inlineStr">
        <is>
          <t>Visioni</t>
        </is>
      </c>
      <c r="F10" s="10" t="inlineStr"/>
      <c r="G10" s="9" t="inlineStr"/>
    </row>
    <row r="11">
      <c r="A11" s="7" t="n">
        <v>8</v>
      </c>
      <c r="B11" s="8" t="inlineStr">
        <is>
          <t>Posso discutere con gli altri medium?</t>
        </is>
      </c>
      <c r="C11" s="8" t="inlineStr">
        <is>
          <t>Si. I medium possono e dovrebbero discutere le visioni tra loro.</t>
        </is>
      </c>
      <c r="D11" s="7" t="inlineStr">
        <is>
          <t>Facile</t>
        </is>
      </c>
      <c r="E11" s="7" t="inlineStr">
        <is>
          <t>Comunicazione</t>
        </is>
      </c>
      <c r="F11" s="8" t="inlineStr"/>
      <c r="G11" s="7" t="inlineStr"/>
    </row>
    <row r="12">
      <c r="A12" s="9" t="n">
        <v>9</v>
      </c>
      <c r="B12" s="10" t="inlineStr">
        <is>
          <t>Cosa succede se un medium non indovina?</t>
        </is>
      </c>
      <c r="C12" s="10" t="inlineStr">
        <is>
          <t>Resta alla stessa fase (sospettato/luogo/arma). Ritenta nel round successivo.</t>
        </is>
      </c>
      <c r="D12" s="9" t="inlineStr">
        <is>
          <t>Media</t>
        </is>
      </c>
      <c r="E12" s="9" t="inlineStr">
        <is>
          <t>Progressione</t>
        </is>
      </c>
      <c r="F12" s="10" t="inlineStr"/>
      <c r="G12" s="9" t="inlineStr"/>
    </row>
    <row r="13">
      <c r="A13" s="11" t="n">
        <v>10</v>
      </c>
      <c r="B13" s="12" t="inlineStr">
        <is>
          <t>Il Fantasma vede le carte degli altri?</t>
        </is>
      </c>
      <c r="C13" s="12" t="inlineStr">
        <is>
          <t>Si. Vede tutto e decide strategicamente quali visioni dare.</t>
        </is>
      </c>
      <c r="D13" s="11" t="inlineStr">
        <is>
          <t>Difficile</t>
        </is>
      </c>
      <c r="E13" s="11" t="inlineStr">
        <is>
          <t>Fantasma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ECC71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Sagrada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Quanti dadi piazzo per turno?</t>
        </is>
      </c>
      <c r="C4" s="8" t="inlineStr">
        <is>
          <t>2 dadi: 1 nella prima fase e 1 nella seconda (draft inverso).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9" t="n">
        <v>2</v>
      </c>
      <c r="B5" s="10" t="inlineStr">
        <is>
          <t>Regole di piazzamento dadi?</t>
        </is>
      </c>
      <c r="C5" s="10" t="inlineStr">
        <is>
          <t>Il primo dado deve toccare il bordo. Poi: adiacente a un dado esistente. Mai stesso colore o numero adiacente.</t>
        </is>
      </c>
      <c r="D5" s="9" t="inlineStr">
        <is>
          <t>Media</t>
        </is>
      </c>
      <c r="E5" s="9" t="inlineStr">
        <is>
          <t>Piazzamento</t>
        </is>
      </c>
      <c r="F5" s="10" t="inlineStr"/>
      <c r="G5" s="9" t="inlineStr"/>
    </row>
    <row r="6">
      <c r="A6" s="7" t="n">
        <v>3</v>
      </c>
      <c r="B6" s="8" t="inlineStr">
        <is>
          <t>Come funzionano le restrizioni della vetrata?</t>
        </is>
      </c>
      <c r="C6" s="8" t="inlineStr">
        <is>
          <t>Le caselle colorate accettano solo quel colore. Le caselle numerate solo quel valore. Bianche: qualsiasi.</t>
        </is>
      </c>
      <c r="D6" s="7" t="inlineStr">
        <is>
          <t>Facile</t>
        </is>
      </c>
      <c r="E6" s="7" t="inlineStr">
        <is>
          <t>Vetrata</t>
        </is>
      </c>
      <c r="F6" s="8" t="inlineStr"/>
      <c r="G6" s="7" t="inlineStr"/>
    </row>
    <row r="7">
      <c r="A7" s="9" t="n">
        <v>4</v>
      </c>
      <c r="B7" s="10" t="inlineStr">
        <is>
          <t>Posso saltare il piazzamento?</t>
        </is>
      </c>
      <c r="C7" s="10" t="inlineStr">
        <is>
          <t>Si. Puoi scegliere di non piazzare un dado in una o entrambe le fasi.</t>
        </is>
      </c>
      <c r="D7" s="9" t="inlineStr">
        <is>
          <t>Media</t>
        </is>
      </c>
      <c r="E7" s="9" t="inlineStr">
        <is>
          <t>Turno</t>
        </is>
      </c>
      <c r="F7" s="10" t="inlineStr"/>
      <c r="G7" s="9" t="inlineStr"/>
    </row>
    <row r="8">
      <c r="A8" s="9" t="n">
        <v>5</v>
      </c>
      <c r="B8" s="10" t="inlineStr">
        <is>
          <t>Come funzionano gli strumenti?</t>
        </is>
      </c>
      <c r="C8" s="10" t="inlineStr">
        <is>
          <t>Paghi segnalini favore (1 se nessuno l'ha usato, 2 se gia usato) per attivare l'effetto.</t>
        </is>
      </c>
      <c r="D8" s="9" t="inlineStr">
        <is>
          <t>Media</t>
        </is>
      </c>
      <c r="E8" s="9" t="inlineStr">
        <is>
          <t>Strumenti</t>
        </is>
      </c>
      <c r="F8" s="10" t="inlineStr"/>
      <c r="G8" s="9" t="inlineStr"/>
    </row>
    <row r="9">
      <c r="A9" s="9" t="n">
        <v>6</v>
      </c>
      <c r="B9" s="10" t="inlineStr">
        <is>
          <t>Come si calcolano i punti?</t>
        </is>
      </c>
      <c r="C9" s="10" t="inlineStr">
        <is>
          <t>Obiettivi pubblici (pattern) + obiettivo privato (somma di un colore) + segnalini favore rimasti - spazi vuoti.</t>
        </is>
      </c>
      <c r="D9" s="9" t="inlineStr">
        <is>
          <t>Media</t>
        </is>
      </c>
      <c r="E9" s="9" t="inlineStr">
        <is>
          <t>Punteggio</t>
        </is>
      </c>
      <c r="F9" s="10" t="inlineStr"/>
      <c r="G9" s="9" t="inlineStr"/>
    </row>
    <row r="10">
      <c r="A10" s="7" t="n">
        <v>7</v>
      </c>
      <c r="B10" s="8" t="inlineStr">
        <is>
          <t>Penalita per spazi vuoti?</t>
        </is>
      </c>
      <c r="C10" s="8" t="inlineStr">
        <is>
          <t>-1 punto per ogni spazio vuoto nella vetrata.</t>
        </is>
      </c>
      <c r="D10" s="7" t="inlineStr">
        <is>
          <t>Facile</t>
        </is>
      </c>
      <c r="E10" s="7" t="inlineStr">
        <is>
          <t>Punteggio</t>
        </is>
      </c>
      <c r="F10" s="8" t="inlineStr"/>
      <c r="G10" s="7" t="inlineStr"/>
    </row>
    <row r="11">
      <c r="A11" s="9" t="n">
        <v>8</v>
      </c>
      <c r="B11" s="10" t="inlineStr">
        <is>
          <t>Quanti segnalini favore ho?</t>
        </is>
      </c>
      <c r="C11" s="10" t="inlineStr">
        <is>
          <t>Dipende dalla difficolta della vetrata scelta. Piu restrizioni = piu segnalini.</t>
        </is>
      </c>
      <c r="D11" s="9" t="inlineStr">
        <is>
          <t>Media</t>
        </is>
      </c>
      <c r="E11" s="9" t="inlineStr">
        <is>
          <t>Setup</t>
        </is>
      </c>
      <c r="F11" s="10" t="inlineStr"/>
      <c r="G11" s="9" t="inlineStr"/>
    </row>
    <row r="12">
      <c r="A12" s="11" t="n">
        <v>9</v>
      </c>
      <c r="B12" s="12" t="inlineStr">
        <is>
          <t>Posso piazzare un dado che viola le restrizioni?</t>
        </is>
      </c>
      <c r="C12" s="12" t="inlineStr">
        <is>
          <t>No. Mai. Nemmeno con strumenti (gli strumenti permettono eccezioni specifiche, non violazioni generali).</t>
        </is>
      </c>
      <c r="D12" s="11" t="inlineStr">
        <is>
          <t>Difficile</t>
        </is>
      </c>
      <c r="E12" s="11" t="inlineStr">
        <is>
          <t>Piazzamento</t>
        </is>
      </c>
      <c r="F12" s="12" t="inlineStr"/>
      <c r="G12" s="11" t="inlineStr"/>
    </row>
    <row r="13">
      <c r="A13" s="11" t="n">
        <v>10</v>
      </c>
      <c r="B13" s="12" t="inlineStr">
        <is>
          <t>Come funziona il draft?</t>
        </is>
      </c>
      <c r="C13" s="12" t="inlineStr">
        <is>
          <t>Si lanciano 2n+1 dadi. In ordine: ogni giocatore ne prende 1. Poi in ordine inverso ne prende un altro. 1 resta.</t>
        </is>
      </c>
      <c r="D13" s="11" t="inlineStr">
        <is>
          <t>Difficile</t>
        </is>
      </c>
      <c r="E13" s="11" t="inlineStr">
        <is>
          <t>Draft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Viticulture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Come funziona la sveglia?</t>
        </is>
      </c>
      <c r="C4" s="8" t="inlineStr">
        <is>
          <t>Scegli posizione sulla traccia sveglia: determina l'ordine del turno + bonus.</t>
        </is>
      </c>
      <c r="D4" s="7" t="inlineStr">
        <is>
          <t>Facile</t>
        </is>
      </c>
      <c r="E4" s="7" t="inlineStr">
        <is>
          <t>Sveglia</t>
        </is>
      </c>
      <c r="F4" s="8" t="inlineStr"/>
      <c r="G4" s="7" t="inlineStr"/>
    </row>
    <row r="5">
      <c r="A5" s="9" t="n">
        <v>2</v>
      </c>
      <c r="B5" s="10" t="inlineStr">
        <is>
          <t>Differenza tra lavoratori normali e il grande?</t>
        </is>
      </c>
      <c r="C5" s="10" t="inlineStr">
        <is>
          <t>Il grande lavoratore puo essere piazzato su spazi gia occupati. I normali no.</t>
        </is>
      </c>
      <c r="D5" s="9" t="inlineStr">
        <is>
          <t>Media</t>
        </is>
      </c>
      <c r="E5" s="9" t="inlineStr">
        <is>
          <t>Lavoratori</t>
        </is>
      </c>
      <c r="F5" s="10" t="inlineStr"/>
      <c r="G5" s="9" t="inlineStr"/>
    </row>
    <row r="6">
      <c r="A6" s="9" t="n">
        <v>3</v>
      </c>
      <c r="B6" s="10" t="inlineStr">
        <is>
          <t>Come si produce vino?</t>
        </is>
      </c>
      <c r="C6" s="10" t="inlineStr">
        <is>
          <t>Azione "Crea Vino": schiaccia uve dalla pressa. Il valore del vino = somma valori uve.</t>
        </is>
      </c>
      <c r="D6" s="9" t="inlineStr">
        <is>
          <t>Media</t>
        </is>
      </c>
      <c r="E6" s="9" t="inlineStr">
        <is>
          <t>Vino</t>
        </is>
      </c>
      <c r="F6" s="10" t="inlineStr"/>
      <c r="G6" s="9" t="inlineStr"/>
    </row>
    <row r="7">
      <c r="A7" s="7" t="n">
        <v>4</v>
      </c>
      <c r="B7" s="8" t="inlineStr">
        <is>
          <t>Come invecchia il vino?</t>
        </is>
      </c>
      <c r="C7" s="8" t="inlineStr">
        <is>
          <t>A fine anno, tutti i vini/spumanti nella cantina avanzano di 1 sulla scala valore.</t>
        </is>
      </c>
      <c r="D7" s="7" t="inlineStr">
        <is>
          <t>Facile</t>
        </is>
      </c>
      <c r="E7" s="7" t="inlineStr">
        <is>
          <t>Invecchiamento</t>
        </is>
      </c>
      <c r="F7" s="8" t="inlineStr"/>
      <c r="G7" s="7" t="inlineStr"/>
    </row>
    <row r="8">
      <c r="A8" s="9" t="n">
        <v>5</v>
      </c>
      <c r="B8" s="10" t="inlineStr">
        <is>
          <t>Come si completano le commesse?</t>
        </is>
      </c>
      <c r="C8" s="10" t="inlineStr">
        <is>
          <t>Azione specifica: consegna vini che soddisfano i requisiti della carta commessa. Guadagni punti + bonus.</t>
        </is>
      </c>
      <c r="D8" s="9" t="inlineStr">
        <is>
          <t>Media</t>
        </is>
      </c>
      <c r="E8" s="9" t="inlineStr">
        <is>
          <t>Commesse</t>
        </is>
      </c>
      <c r="F8" s="10" t="inlineStr"/>
      <c r="G8" s="9" t="inlineStr"/>
    </row>
    <row r="9">
      <c r="A9" s="7" t="n">
        <v>6</v>
      </c>
      <c r="B9" s="8" t="inlineStr">
        <is>
          <t>Quando finisce la partita?</t>
        </is>
      </c>
      <c r="C9" s="8" t="inlineStr">
        <is>
          <t>Alla fine dell'anno in cui qualcuno raggiunge 25 punti.</t>
        </is>
      </c>
      <c r="D9" s="7" t="inlineStr">
        <is>
          <t>Facile</t>
        </is>
      </c>
      <c r="E9" s="7" t="inlineStr">
        <is>
          <t>Fine Partita</t>
        </is>
      </c>
      <c r="F9" s="8" t="inlineStr"/>
      <c r="G9" s="7" t="inlineStr"/>
    </row>
    <row r="10">
      <c r="A10" s="9" t="n">
        <v>7</v>
      </c>
      <c r="B10" s="10" t="inlineStr">
        <is>
          <t>Posso piantare senza struttura?</t>
        </is>
      </c>
      <c r="C10" s="10" t="inlineStr">
        <is>
          <t>Serve almeno 1 campo arabile. Puoi comprare campi con un'azione.</t>
        </is>
      </c>
      <c r="D10" s="9" t="inlineStr">
        <is>
          <t>Media</t>
        </is>
      </c>
      <c r="E10" s="9" t="inlineStr">
        <is>
          <t>Campi</t>
        </is>
      </c>
      <c r="F10" s="10" t="inlineStr"/>
      <c r="G10" s="9" t="inlineStr"/>
    </row>
    <row r="11">
      <c r="A11" s="9" t="n">
        <v>8</v>
      </c>
      <c r="B11" s="10" t="inlineStr">
        <is>
          <t>Come funzionano i visitatori (carte)?</t>
        </is>
      </c>
      <c r="C11" s="10" t="inlineStr">
        <is>
          <t>Estate: visitatori estivi (azioni bonus). Inverno: visitatori invernali (bonus avanzati). Giocali con un'azione.</t>
        </is>
      </c>
      <c r="D11" s="9" t="inlineStr">
        <is>
          <t>Media</t>
        </is>
      </c>
      <c r="E11" s="9" t="inlineStr">
        <is>
          <t>Carte</t>
        </is>
      </c>
      <c r="F11" s="10" t="inlineStr"/>
      <c r="G11" s="9" t="inlineStr"/>
    </row>
    <row r="12">
      <c r="A12" s="11" t="n">
        <v>9</v>
      </c>
      <c r="B12" s="12" t="inlineStr">
        <is>
          <t>Posso vendere un campo con viti piantate?</t>
        </is>
      </c>
      <c r="C12" s="12" t="inlineStr">
        <is>
          <t>Si. Ricevi il valore del campo. Le viti si sradicano (perse).</t>
        </is>
      </c>
      <c r="D12" s="11" t="inlineStr">
        <is>
          <t>Difficile</t>
        </is>
      </c>
      <c r="E12" s="11" t="inlineStr">
        <is>
          <t>Campi</t>
        </is>
      </c>
      <c r="F12" s="12" t="inlineStr"/>
      <c r="G12" s="11" t="inlineStr"/>
    </row>
    <row r="13">
      <c r="A13" s="11" t="n">
        <v>10</v>
      </c>
      <c r="B13" s="12" t="inlineStr">
        <is>
          <t>Il vino rosato e lo spumante?</t>
        </is>
      </c>
      <c r="C13" s="12" t="inlineStr">
        <is>
          <t>Rosato: 1 uva rossa + 1 bianca. Spumante: 1 rossa + 2 bianche (o viceversa). Valgono di piu.</t>
        </is>
      </c>
      <c r="D13" s="11" t="inlineStr">
        <is>
          <t>Difficile</t>
        </is>
      </c>
      <c r="E13" s="11" t="inlineStr">
        <is>
          <t>Vino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Dominion</t>
        </is>
      </c>
    </row>
    <row r="2">
      <c r="A2" s="6" t="inlineStr">
        <is>
          <t>Totale: 10 | Facili: 4 | Medie: 5 | Difficili: 1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Come funziona un turno?</t>
        </is>
      </c>
      <c r="C4" s="8" t="inlineStr">
        <is>
          <t>3 fasi: Azione (gioca carte azione), Acquisto (compra carte), Pulizia (scarta tutto, pesca 5).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Quante azioni e acquisti di default?</t>
        </is>
      </c>
      <c r="C5" s="8" t="inlineStr">
        <is>
          <t>1 Azione e 1 Acquisto per turno. Le carte possono aggiungerne.</t>
        </is>
      </c>
      <c r="D5" s="7" t="inlineStr">
        <is>
          <t>Facile</t>
        </is>
      </c>
      <c r="E5" s="7" t="inlineStr">
        <is>
          <t>Turno</t>
        </is>
      </c>
      <c r="F5" s="8" t="inlineStr"/>
      <c r="G5" s="7" t="inlineStr"/>
    </row>
    <row r="6">
      <c r="A6" s="9" t="n">
        <v>3</v>
      </c>
      <c r="B6" s="10" t="inlineStr">
        <is>
          <t>Quando finisce la partita?</t>
        </is>
      </c>
      <c r="C6" s="10" t="inlineStr">
        <is>
          <t>Quando la pila Province e vuota, oppure 3 pile qualsiasi sono vuote.</t>
        </is>
      </c>
      <c r="D6" s="9" t="inlineStr">
        <is>
          <t>Media</t>
        </is>
      </c>
      <c r="E6" s="9" t="inlineStr">
        <is>
          <t>Fine Partita</t>
        </is>
      </c>
      <c r="F6" s="10" t="inlineStr"/>
      <c r="G6" s="9" t="inlineStr"/>
    </row>
    <row r="7">
      <c r="A7" s="9" t="n">
        <v>4</v>
      </c>
      <c r="B7" s="10" t="inlineStr">
        <is>
          <t>Come si calcolano i punti?</t>
        </is>
      </c>
      <c r="C7" s="10" t="inlineStr">
        <is>
          <t>Conta SOLO le carte Vittoria nel tuo mazzo (inclusi scarti e mano). Le carte azione non valgono punti.</t>
        </is>
      </c>
      <c r="D7" s="9" t="inlineStr">
        <is>
          <t>Media</t>
        </is>
      </c>
      <c r="E7" s="9" t="inlineStr">
        <is>
          <t>Punteggio</t>
        </is>
      </c>
      <c r="F7" s="10" t="inlineStr"/>
      <c r="G7" s="9" t="inlineStr"/>
    </row>
    <row r="8">
      <c r="A8" s="9" t="n">
        <v>5</v>
      </c>
      <c r="B8" s="10" t="inlineStr">
        <is>
          <t>Posso giocare piu carte azione?</t>
        </is>
      </c>
      <c r="C8" s="10" t="inlineStr">
        <is>
          <t>Solo se una carta ti da +1 Azione (o piu). Altrimenti 1 sola azione per turno.</t>
        </is>
      </c>
      <c r="D8" s="9" t="inlineStr">
        <is>
          <t>Media</t>
        </is>
      </c>
      <c r="E8" s="9" t="inlineStr">
        <is>
          <t>Azioni</t>
        </is>
      </c>
      <c r="F8" s="10" t="inlineStr"/>
      <c r="G8" s="9" t="inlineStr"/>
    </row>
    <row r="9">
      <c r="A9" s="9" t="n">
        <v>6</v>
      </c>
      <c r="B9" s="10" t="inlineStr">
        <is>
          <t>Le carte Maledizione?</t>
        </is>
      </c>
      <c r="C9" s="10" t="inlineStr">
        <is>
          <t>-1 punto ciascuna. Vengono date agli avversari da carte Attacco.</t>
        </is>
      </c>
      <c r="D9" s="9" t="inlineStr">
        <is>
          <t>Media</t>
        </is>
      </c>
      <c r="E9" s="9" t="inlineStr">
        <is>
          <t>Maledizioni</t>
        </is>
      </c>
      <c r="F9" s="10" t="inlineStr"/>
      <c r="G9" s="9" t="inlineStr"/>
    </row>
    <row r="10">
      <c r="A10" s="9" t="n">
        <v>7</v>
      </c>
      <c r="B10" s="10" t="inlineStr">
        <is>
          <t>Come funzionano le carte Reazione?</t>
        </is>
      </c>
      <c r="C10" s="10" t="inlineStr">
        <is>
          <t>Quando un avversario gioca un Attacco, puoi rivelare una Reazione dalla mano per difenderti.</t>
        </is>
      </c>
      <c r="D10" s="9" t="inlineStr">
        <is>
          <t>Media</t>
        </is>
      </c>
      <c r="E10" s="9" t="inlineStr">
        <is>
          <t>Reazione</t>
        </is>
      </c>
      <c r="F10" s="10" t="inlineStr"/>
      <c r="G10" s="9" t="inlineStr"/>
    </row>
    <row r="11">
      <c r="A11" s="7" t="n">
        <v>8</v>
      </c>
      <c r="B11" s="8" t="inlineStr">
        <is>
          <t>Posso comprare piu carte?</t>
        </is>
      </c>
      <c r="C11" s="8" t="inlineStr">
        <is>
          <t>Solo se hai +Acquisti da carte azione. Ogni acquisto richiede monete sufficienti.</t>
        </is>
      </c>
      <c r="D11" s="7" t="inlineStr">
        <is>
          <t>Facile</t>
        </is>
      </c>
      <c r="E11" s="7" t="inlineStr">
        <is>
          <t>Acquisto</t>
        </is>
      </c>
      <c r="F11" s="8" t="inlineStr"/>
      <c r="G11" s="7" t="inlineStr"/>
    </row>
    <row r="12">
      <c r="A12" s="7" t="n">
        <v>9</v>
      </c>
      <c r="B12" s="8" t="inlineStr">
        <is>
          <t>Il mazzo finisce: cosa faccio?</t>
        </is>
      </c>
      <c r="C12" s="8" t="inlineStr">
        <is>
          <t>Mescola la pila degli scarti e diventa il nuovo mazzo. Succede spesso.</t>
        </is>
      </c>
      <c r="D12" s="7" t="inlineStr">
        <is>
          <t>Facile</t>
        </is>
      </c>
      <c r="E12" s="7" t="inlineStr">
        <is>
          <t>Mazzo</t>
        </is>
      </c>
      <c r="F12" s="8" t="inlineStr"/>
      <c r="G12" s="7" t="inlineStr"/>
    </row>
    <row r="13">
      <c r="A13" s="11" t="n">
        <v>10</v>
      </c>
      <c r="B13" s="12" t="inlineStr">
        <is>
          <t>Trashing (rimuovere carte) e permanente?</t>
        </is>
      </c>
      <c r="C13" s="12" t="inlineStr">
        <is>
          <t>Si. Le carte rimosse dal mazzo vanno nel cestino e NON tornano mai. Strategia di snellimento.</t>
        </is>
      </c>
      <c r="D13" s="11" t="inlineStr">
        <is>
          <t>Difficile</t>
        </is>
      </c>
      <c r="E13" s="11" t="inlineStr">
        <is>
          <t>Trashing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Santorini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Cosa faccio nel mio turno?</t>
        </is>
      </c>
      <c r="C4" s="8" t="inlineStr">
        <is>
          <t>2 fasi: Muovi (1 lavoratore adiacente) + Costruisci (1 livello adiacente al lavoratore mosso).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Come si vince?</t>
        </is>
      </c>
      <c r="C5" s="8" t="inlineStr">
        <is>
          <t>Muovi un tuo lavoratore SU un edificio al 3o livello (non costruisci al 3o, ci sali).</t>
        </is>
      </c>
      <c r="D5" s="7" t="inlineStr">
        <is>
          <t>Facile</t>
        </is>
      </c>
      <c r="E5" s="7" t="inlineStr">
        <is>
          <t>Vittoria</t>
        </is>
      </c>
      <c r="F5" s="8" t="inlineStr"/>
      <c r="G5" s="7" t="inlineStr"/>
    </row>
    <row r="6">
      <c r="A6" s="9" t="n">
        <v>3</v>
      </c>
      <c r="B6" s="10" t="inlineStr">
        <is>
          <t>Posso salire di piu livelli alla volta?</t>
        </is>
      </c>
      <c r="C6" s="10" t="inlineStr">
        <is>
          <t>No. Puoi salire max 1 livello per mossa. Puoi scendere di quanti livelli vuoi.</t>
        </is>
      </c>
      <c r="D6" s="9" t="inlineStr">
        <is>
          <t>Media</t>
        </is>
      </c>
      <c r="E6" s="9" t="inlineStr">
        <is>
          <t>Movimento</t>
        </is>
      </c>
      <c r="F6" s="10" t="inlineStr"/>
      <c r="G6" s="9" t="inlineStr"/>
    </row>
    <row r="7">
      <c r="A7" s="9" t="n">
        <v>4</v>
      </c>
      <c r="B7" s="10" t="inlineStr">
        <is>
          <t>Cosa fa la cupola (4o livello)?</t>
        </is>
      </c>
      <c r="C7" s="10" t="inlineStr">
        <is>
          <t>Blocca lo spazio. Nessuno puo muovere o costruire li. Non puoi vincere salendo su una cupola.</t>
        </is>
      </c>
      <c r="D7" s="9" t="inlineStr">
        <is>
          <t>Media</t>
        </is>
      </c>
      <c r="E7" s="9" t="inlineStr">
        <is>
          <t>Costruzione</t>
        </is>
      </c>
      <c r="F7" s="10" t="inlineStr"/>
      <c r="G7" s="9" t="inlineStr"/>
    </row>
    <row r="8">
      <c r="A8" s="7" t="n">
        <v>5</v>
      </c>
      <c r="B8" s="8" t="inlineStr">
        <is>
          <t>Posso costruire sotto il mio lavoratore?</t>
        </is>
      </c>
      <c r="C8" s="8" t="inlineStr">
        <is>
          <t>No. Costruisci in uno spazio adiacente al lavoratore che hai appena mosso.</t>
        </is>
      </c>
      <c r="D8" s="7" t="inlineStr">
        <is>
          <t>Facile</t>
        </is>
      </c>
      <c r="E8" s="7" t="inlineStr">
        <is>
          <t>Costruzione</t>
        </is>
      </c>
      <c r="F8" s="8" t="inlineStr"/>
      <c r="G8" s="7" t="inlineStr"/>
    </row>
    <row r="9">
      <c r="A9" s="9" t="n">
        <v>6</v>
      </c>
      <c r="B9" s="10" t="inlineStr">
        <is>
          <t>I poteri divini come funzionano?</t>
        </is>
      </c>
      <c r="C9" s="10" t="inlineStr">
        <is>
          <t>Ogni giocatore sceglie una carta Dio a inizio partita. Ogni Dio modifica una regola specifica.</t>
        </is>
      </c>
      <c r="D9" s="9" t="inlineStr">
        <is>
          <t>Media</t>
        </is>
      </c>
      <c r="E9" s="9" t="inlineStr">
        <is>
          <t>Poteri</t>
        </is>
      </c>
      <c r="F9" s="10" t="inlineStr"/>
      <c r="G9" s="9" t="inlineStr"/>
    </row>
    <row r="10">
      <c r="A10" s="11" t="n">
        <v>7</v>
      </c>
      <c r="B10" s="12" t="inlineStr">
        <is>
          <t>Posso bloccare un avversario?</t>
        </is>
      </c>
      <c r="C10" s="12" t="inlineStr">
        <is>
          <t>Si. Se un giocatore non puo muovere nessun lavoratore, perde.</t>
        </is>
      </c>
      <c r="D10" s="11" t="inlineStr">
        <is>
          <t>Difficile</t>
        </is>
      </c>
      <c r="E10" s="11" t="inlineStr">
        <is>
          <t>Strategia</t>
        </is>
      </c>
      <c r="F10" s="12" t="inlineStr"/>
      <c r="G10" s="11" t="inlineStr"/>
    </row>
    <row r="11">
      <c r="A11" s="9" t="n">
        <v>8</v>
      </c>
      <c r="B11" s="10" t="inlineStr">
        <is>
          <t>Devo muovere E costruire?</t>
        </is>
      </c>
      <c r="C11" s="10" t="inlineStr">
        <is>
          <t>Si, entrambe obbligatorie. Se non puoi muovere, perdi. Se muovi ma non puoi costruire, perdi.</t>
        </is>
      </c>
      <c r="D11" s="9" t="inlineStr">
        <is>
          <t>Media</t>
        </is>
      </c>
      <c r="E11" s="9" t="inlineStr">
        <is>
          <t>Turno</t>
        </is>
      </c>
      <c r="F11" s="10" t="inlineStr"/>
      <c r="G11" s="9" t="inlineStr"/>
    </row>
    <row r="12">
      <c r="A12" s="11" t="n">
        <v>9</v>
      </c>
      <c r="B12" s="12" t="inlineStr">
        <is>
          <t>Posso costruire cupole strategicamente?</t>
        </is>
      </c>
      <c r="C12" s="12" t="inlineStr">
        <is>
          <t>Si. Costruire cupole per bloccare percorsi avversari e una strategia chiave.</t>
        </is>
      </c>
      <c r="D12" s="11" t="inlineStr">
        <is>
          <t>Difficile</t>
        </is>
      </c>
      <c r="E12" s="11" t="inlineStr">
        <is>
          <t>Strategia</t>
        </is>
      </c>
      <c r="F12" s="12" t="inlineStr"/>
      <c r="G12" s="11" t="inlineStr"/>
    </row>
    <row r="13">
      <c r="A13" s="7" t="n">
        <v>10</v>
      </c>
      <c r="B13" s="8" t="inlineStr">
        <is>
          <t>Setup: dove piazzo i lavoratori?</t>
        </is>
      </c>
      <c r="C13" s="8" t="inlineStr">
        <is>
          <t>2 lavoratori ciascuno, piazzati a turno sugli spazi vuoti del tabellone.</t>
        </is>
      </c>
      <c r="D13" s="7" t="inlineStr">
        <is>
          <t>Facile</t>
        </is>
      </c>
      <c r="E13" s="7" t="inlineStr">
        <is>
          <t>Setup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ECC71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Villainous</t>
        </is>
      </c>
    </row>
    <row r="2">
      <c r="A2" s="6" t="inlineStr">
        <is>
          <t>Totale: 10 | Facili: 4 | Medie: 5 | Difficili: 1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Cosa devo fare per vincere?</t>
        </is>
      </c>
      <c r="C4" s="8" t="inlineStr">
        <is>
          <t>Ogni cattivo ha un obiettivo unico stampato sulla plancia. Devi completarlo per primo.</t>
        </is>
      </c>
      <c r="D4" s="7" t="inlineStr">
        <is>
          <t>Facile</t>
        </is>
      </c>
      <c r="E4" s="7" t="inlineStr">
        <is>
          <t>Obiettivo</t>
        </is>
      </c>
      <c r="F4" s="8" t="inlineStr"/>
      <c r="G4" s="7" t="inlineStr"/>
    </row>
    <row r="5">
      <c r="A5" s="7" t="n">
        <v>2</v>
      </c>
      <c r="B5" s="8" t="inlineStr">
        <is>
          <t>Come funziona il turno?</t>
        </is>
      </c>
      <c r="C5" s="8" t="inlineStr">
        <is>
          <t>Muovi il segnalino su uno spazio della tua plancia e usa le azioni disponibili in quello spazio.</t>
        </is>
      </c>
      <c r="D5" s="7" t="inlineStr">
        <is>
          <t>Facile</t>
        </is>
      </c>
      <c r="E5" s="7" t="inlineStr">
        <is>
          <t>Turno</t>
        </is>
      </c>
      <c r="F5" s="8" t="inlineStr"/>
      <c r="G5" s="7" t="inlineStr"/>
    </row>
    <row r="6">
      <c r="A6" s="9" t="n">
        <v>3</v>
      </c>
      <c r="B6" s="10" t="inlineStr">
        <is>
          <t>Cosa sono le carte Destino?</t>
        </is>
      </c>
      <c r="C6" s="10" t="inlineStr">
        <is>
          <t>Carte che altri giocatori giocano CONTRO di te. Eroi, eventi, oggetti che ostacolano il tuo piano.</t>
        </is>
      </c>
      <c r="D6" s="9" t="inlineStr">
        <is>
          <t>Media</t>
        </is>
      </c>
      <c r="E6" s="9" t="inlineStr">
        <is>
          <t>Destino</t>
        </is>
      </c>
      <c r="F6" s="10" t="inlineStr"/>
      <c r="G6" s="9" t="inlineStr"/>
    </row>
    <row r="7">
      <c r="A7" s="9" t="n">
        <v>4</v>
      </c>
      <c r="B7" s="10" t="inlineStr">
        <is>
          <t>Posso giocare Destino su qualsiasi giocatore?</t>
        </is>
      </c>
      <c r="C7" s="10" t="inlineStr">
        <is>
          <t>Si. Peschi 2 carte dal mazzo Destino di quel giocatore e ne giochi 1.</t>
        </is>
      </c>
      <c r="D7" s="9" t="inlineStr">
        <is>
          <t>Media</t>
        </is>
      </c>
      <c r="E7" s="9" t="inlineStr">
        <is>
          <t>Destino</t>
        </is>
      </c>
      <c r="F7" s="10" t="inlineStr"/>
      <c r="G7" s="9" t="inlineStr"/>
    </row>
    <row r="8">
      <c r="A8" s="9" t="n">
        <v>5</v>
      </c>
      <c r="B8" s="10" t="inlineStr">
        <is>
          <t>Come funzionano gli Eroi?</t>
        </is>
      </c>
      <c r="C8" s="10" t="inlineStr">
        <is>
          <t>Piazzati su una locazione del cattivo. Coprono le azioni superiori di quella locazione rendendole inutilizzabili.</t>
        </is>
      </c>
      <c r="D8" s="9" t="inlineStr">
        <is>
          <t>Media</t>
        </is>
      </c>
      <c r="E8" s="9" t="inlineStr">
        <is>
          <t>Eroi</t>
        </is>
      </c>
      <c r="F8" s="10" t="inlineStr"/>
      <c r="G8" s="9" t="inlineStr"/>
    </row>
    <row r="9">
      <c r="A9" s="9" t="n">
        <v>6</v>
      </c>
      <c r="B9" s="10" t="inlineStr">
        <is>
          <t>Come elimino un Eroe?</t>
        </is>
      </c>
      <c r="C9" s="10" t="inlineStr">
        <is>
          <t>Usa un Alleato con forza &gt;= all'Eroe nello stesso luogo. Entrambi vengono scartati.</t>
        </is>
      </c>
      <c r="D9" s="9" t="inlineStr">
        <is>
          <t>Media</t>
        </is>
      </c>
      <c r="E9" s="9" t="inlineStr">
        <is>
          <t>Combattimento</t>
        </is>
      </c>
      <c r="F9" s="10" t="inlineStr"/>
      <c r="G9" s="9" t="inlineStr"/>
    </row>
    <row r="10">
      <c r="A10" s="7" t="n">
        <v>7</v>
      </c>
      <c r="B10" s="8" t="inlineStr">
        <is>
          <t>Posso tornare su uno spazio gia visitato?</t>
        </is>
      </c>
      <c r="C10" s="8" t="inlineStr">
        <is>
          <t>Si, ma DEVI muovere il segnalino ogni turno. Non puoi restare fermo.</t>
        </is>
      </c>
      <c r="D10" s="7" t="inlineStr">
        <is>
          <t>Facile</t>
        </is>
      </c>
      <c r="E10" s="7" t="inlineStr">
        <is>
          <t>Movimento</t>
        </is>
      </c>
      <c r="F10" s="8" t="inlineStr"/>
      <c r="G10" s="7" t="inlineStr"/>
    </row>
    <row r="11">
      <c r="A11" s="9" t="n">
        <v>8</v>
      </c>
      <c r="B11" s="10" t="inlineStr">
        <is>
          <t>Le azioni di uno spazio sono obbligatorie?</t>
        </is>
      </c>
      <c r="C11" s="10" t="inlineStr">
        <is>
          <t>No. Puoi fare tutte, alcune, o nessuna azione dello spazio scelto.</t>
        </is>
      </c>
      <c r="D11" s="9" t="inlineStr">
        <is>
          <t>Media</t>
        </is>
      </c>
      <c r="E11" s="9" t="inlineStr">
        <is>
          <t>Azioni</t>
        </is>
      </c>
      <c r="F11" s="10" t="inlineStr"/>
      <c r="G11" s="9" t="inlineStr"/>
    </row>
    <row r="12">
      <c r="A12" s="7" t="n">
        <v>9</v>
      </c>
      <c r="B12" s="8" t="inlineStr">
        <is>
          <t>Potere e come si usa?</t>
        </is>
      </c>
      <c r="C12" s="8" t="inlineStr">
        <is>
          <t>Risorsa principale. Guadagni potere dalle azioni. Si spende per giocare carte e attivare effetti.</t>
        </is>
      </c>
      <c r="D12" s="7" t="inlineStr">
        <is>
          <t>Facile</t>
        </is>
      </c>
      <c r="E12" s="7" t="inlineStr">
        <is>
          <t>Potere</t>
        </is>
      </c>
      <c r="F12" s="8" t="inlineStr"/>
      <c r="G12" s="7" t="inlineStr"/>
    </row>
    <row r="13">
      <c r="A13" s="11" t="n">
        <v>10</v>
      </c>
      <c r="B13" s="12" t="inlineStr">
        <is>
          <t>Ogni cattivo gioca diversamente?</t>
        </is>
      </c>
      <c r="C13" s="12" t="inlineStr">
        <is>
          <t>Si. Obiettivo, carte, strategie e meccaniche sono unici per ogni cattivo. Asimmetrico.</t>
        </is>
      </c>
      <c r="D13" s="11" t="inlineStr">
        <is>
          <t>Difficile</t>
        </is>
      </c>
      <c r="E13" s="11" t="inlineStr">
        <is>
          <t>Asimmetria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Cascadia</t>
        </is>
      </c>
    </row>
    <row r="2">
      <c r="A2" s="6" t="inlineStr">
        <is>
          <t>Totale: 10 | Facili: 4 | Medie: 4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Cosa faccio nel turno?</t>
        </is>
      </c>
      <c r="C4" s="8" t="inlineStr">
        <is>
          <t>Scegli 1 coppia tessera habitat + segnalino fauna dal display. Piazza entrambi.</t>
        </is>
      </c>
      <c r="D4" s="7" t="inlineStr">
        <is>
          <t>Facile</t>
        </is>
      </c>
      <c r="E4" s="7" t="inlineStr">
        <is>
          <t>Turno</t>
        </is>
      </c>
      <c r="F4" s="8" t="inlineStr"/>
      <c r="G4" s="7" t="inlineStr"/>
    </row>
    <row r="5">
      <c r="A5" s="7" t="n">
        <v>2</v>
      </c>
      <c r="B5" s="8" t="inlineStr">
        <is>
          <t>Come piazzo le tessere habitat?</t>
        </is>
      </c>
      <c r="C5" s="8" t="inlineStr">
        <is>
          <t>Adiacente a una tessera gia nella tua area. Non ci sono restrizioni di tipo habitat.</t>
        </is>
      </c>
      <c r="D5" s="7" t="inlineStr">
        <is>
          <t>Facile</t>
        </is>
      </c>
      <c r="E5" s="7" t="inlineStr">
        <is>
          <t>Piazzamento</t>
        </is>
      </c>
      <c r="F5" s="8" t="inlineStr"/>
      <c r="G5" s="7" t="inlineStr"/>
    </row>
    <row r="6">
      <c r="A6" s="7" t="n">
        <v>3</v>
      </c>
      <c r="B6" s="8" t="inlineStr">
        <is>
          <t>Come piazzo i segnalini fauna?</t>
        </is>
      </c>
      <c r="C6" s="8" t="inlineStr">
        <is>
          <t>Su una tessera che mostra quell'animale come habitat valido. 1 fauna per tessera.</t>
        </is>
      </c>
      <c r="D6" s="7" t="inlineStr">
        <is>
          <t>Facile</t>
        </is>
      </c>
      <c r="E6" s="7" t="inlineStr">
        <is>
          <t>Fauna</t>
        </is>
      </c>
      <c r="F6" s="8" t="inlineStr"/>
      <c r="G6" s="7" t="inlineStr"/>
    </row>
    <row r="7">
      <c r="A7" s="9" t="n">
        <v>4</v>
      </c>
      <c r="B7" s="10" t="inlineStr">
        <is>
          <t>Come funzionano le carte obiettivo fauna?</t>
        </is>
      </c>
      <c r="C7" s="10" t="inlineStr">
        <is>
          <t>Ogni animale ha una carta che definisce il pattern di punteggio (gruppi, linee, coppie, ecc).</t>
        </is>
      </c>
      <c r="D7" s="9" t="inlineStr">
        <is>
          <t>Media</t>
        </is>
      </c>
      <c r="E7" s="9" t="inlineStr">
        <is>
          <t>Obiettivi</t>
        </is>
      </c>
      <c r="F7" s="10" t="inlineStr"/>
      <c r="G7" s="9" t="inlineStr"/>
    </row>
    <row r="8">
      <c r="A8" s="9" t="n">
        <v>5</v>
      </c>
      <c r="B8" s="10" t="inlineStr">
        <is>
          <t>Posso usare un segnalino Natura?</t>
        </is>
      </c>
      <c r="C8" s="10" t="inlineStr">
        <is>
          <t>Si. Spendi 1 segnalino per: scegliere tessera e fauna da coppie diverse, oppure rimpiazzare tutti i segnalini fauna nel display.</t>
        </is>
      </c>
      <c r="D8" s="9" t="inlineStr">
        <is>
          <t>Media</t>
        </is>
      </c>
      <c r="E8" s="9" t="inlineStr">
        <is>
          <t>Natura</t>
        </is>
      </c>
      <c r="F8" s="10" t="inlineStr"/>
      <c r="G8" s="9" t="inlineStr"/>
    </row>
    <row r="9">
      <c r="A9" s="9" t="n">
        <v>6</v>
      </c>
      <c r="B9" s="10" t="inlineStr">
        <is>
          <t>Come si calcolano i punti?</t>
        </is>
      </c>
      <c r="C9" s="10" t="inlineStr">
        <is>
          <t>Punti fauna (da carte obiettivo) + punti habitat (gruppo piu grande di ogni tipo) + segnalini natura rimasti.</t>
        </is>
      </c>
      <c r="D9" s="9" t="inlineStr">
        <is>
          <t>Media</t>
        </is>
      </c>
      <c r="E9" s="9" t="inlineStr">
        <is>
          <t>Punteggio</t>
        </is>
      </c>
      <c r="F9" s="10" t="inlineStr"/>
      <c r="G9" s="9" t="inlineStr"/>
    </row>
    <row r="10">
      <c r="A10" s="11" t="n">
        <v>7</v>
      </c>
      <c r="B10" s="12" t="inlineStr">
        <is>
          <t>Bonus per gruppi habitat?</t>
        </is>
      </c>
      <c r="C10" s="12" t="inlineStr">
        <is>
          <t>Il gruppo piu grande di ogni tipo habitat: confronta con gli altri. Bonus per chi ha il piu grande.</t>
        </is>
      </c>
      <c r="D10" s="11" t="inlineStr">
        <is>
          <t>Difficile</t>
        </is>
      </c>
      <c r="E10" s="11" t="inlineStr">
        <is>
          <t>Habitat</t>
        </is>
      </c>
      <c r="F10" s="12" t="inlineStr"/>
      <c r="G10" s="11" t="inlineStr"/>
    </row>
    <row r="11">
      <c r="A11" s="9" t="n">
        <v>8</v>
      </c>
      <c r="B11" s="10" t="inlineStr">
        <is>
          <t>Posso piazzare fauna ovunque?</t>
        </is>
      </c>
      <c r="C11" s="10" t="inlineStr">
        <is>
          <t>No. Solo su tessere che mostrano quell'animale come opzione E che non hanno gia fauna.</t>
        </is>
      </c>
      <c r="D11" s="9" t="inlineStr">
        <is>
          <t>Media</t>
        </is>
      </c>
      <c r="E11" s="9" t="inlineStr">
        <is>
          <t>Fauna</t>
        </is>
      </c>
      <c r="F11" s="10" t="inlineStr"/>
      <c r="G11" s="9" t="inlineStr"/>
    </row>
    <row r="12">
      <c r="A12" s="7" t="n">
        <v>9</v>
      </c>
      <c r="B12" s="8" t="inlineStr">
        <is>
          <t>Quando finisce?</t>
        </is>
      </c>
      <c r="C12" s="8" t="inlineStr">
        <is>
          <t>Quando tutte le tessere sono state piazzate (numero fisso per partita).</t>
        </is>
      </c>
      <c r="D12" s="7" t="inlineStr">
        <is>
          <t>Facile</t>
        </is>
      </c>
      <c r="E12" s="7" t="inlineStr">
        <is>
          <t>Fine Partita</t>
        </is>
      </c>
      <c r="F12" s="8" t="inlineStr"/>
      <c r="G12" s="7" t="inlineStr"/>
    </row>
    <row r="13">
      <c r="A13" s="11" t="n">
        <v>10</v>
      </c>
      <c r="B13" s="12" t="inlineStr">
        <is>
          <t>Devo piazzare la fauna?</t>
        </is>
      </c>
      <c r="C13" s="12" t="inlineStr">
        <is>
          <t>Se puoi piazzarla legalmente, devi. Se non puoi, la rimetti nel sacco.</t>
        </is>
      </c>
      <c r="D13" s="11" t="inlineStr">
        <is>
          <t>Difficile</t>
        </is>
      </c>
      <c r="E13" s="11" t="inlineStr">
        <is>
          <t>Piazzamento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8E44AD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Brass Birmingham</t>
        </is>
      </c>
    </row>
    <row r="2">
      <c r="A2" s="6" t="inlineStr">
        <is>
          <t>Totale: 10 | Facili: 2 | Medie: 6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9" t="n">
        <v>1</v>
      </c>
      <c r="B4" s="10" t="inlineStr">
        <is>
          <t>Quali sono le due ere?</t>
        </is>
      </c>
      <c r="C4" s="10" t="inlineStr">
        <is>
          <t>Era del Canale (1770-1830) e Era delle Ferrovie (1830-1870). Tra le ere, gli edifici livello 1 vengono rimossi.</t>
        </is>
      </c>
      <c r="D4" s="9" t="inlineStr">
        <is>
          <t>Media</t>
        </is>
      </c>
      <c r="E4" s="9" t="inlineStr">
        <is>
          <t>Ere</t>
        </is>
      </c>
      <c r="F4" s="10" t="inlineStr"/>
      <c r="G4" s="9" t="inlineStr"/>
    </row>
    <row r="5">
      <c r="A5" s="7" t="n">
        <v>2</v>
      </c>
      <c r="B5" s="8" t="inlineStr">
        <is>
          <t>Quante azioni per turno?</t>
        </is>
      </c>
      <c r="C5" s="8" t="inlineStr">
        <is>
          <t>2 azioni. Ogni azione richiede scartare 1 carta dalla mano.</t>
        </is>
      </c>
      <c r="D5" s="7" t="inlineStr">
        <is>
          <t>Facile</t>
        </is>
      </c>
      <c r="E5" s="7" t="inlineStr">
        <is>
          <t>Turno</t>
        </is>
      </c>
      <c r="F5" s="8" t="inlineStr"/>
      <c r="G5" s="7" t="inlineStr"/>
    </row>
    <row r="6">
      <c r="A6" s="9" t="n">
        <v>3</v>
      </c>
      <c r="B6" s="10" t="inlineStr">
        <is>
          <t>Come costruisco un edificio?</t>
        </is>
      </c>
      <c r="C6" s="10" t="inlineStr">
        <is>
          <t>Scarta 1 carta (citta corrispondente o industria corrispondente). Paga i costi in risorse e denaro.</t>
        </is>
      </c>
      <c r="D6" s="9" t="inlineStr">
        <is>
          <t>Media</t>
        </is>
      </c>
      <c r="E6" s="9" t="inlineStr">
        <is>
          <t>Costruzione</t>
        </is>
      </c>
      <c r="F6" s="10" t="inlineStr"/>
      <c r="G6" s="9" t="inlineStr"/>
    </row>
    <row r="7">
      <c r="A7" s="9" t="n">
        <v>4</v>
      </c>
      <c r="B7" s="10" t="inlineStr">
        <is>
          <t>Come funzionano i link (canali/ferrovie)?</t>
        </is>
      </c>
      <c r="C7" s="10" t="inlineStr">
        <is>
          <t>Connettono citta. Servono per vendere merci. Era canale: 3GBP. Era ferrovia: 5GBP + 1 carbone + 1 ferro.</t>
        </is>
      </c>
      <c r="D7" s="9" t="inlineStr">
        <is>
          <t>Media</t>
        </is>
      </c>
      <c r="E7" s="9" t="inlineStr">
        <is>
          <t>Link</t>
        </is>
      </c>
      <c r="F7" s="10" t="inlineStr"/>
      <c r="G7" s="9" t="inlineStr"/>
    </row>
    <row r="8">
      <c r="A8" s="11" t="n">
        <v>5</v>
      </c>
      <c r="B8" s="12" t="inlineStr">
        <is>
          <t>Come vendo merci?</t>
        </is>
      </c>
      <c r="C8" s="12" t="inlineStr">
        <is>
          <t>Azione Vendita: vendi dalla tua fabbrica attraverso link collegati a un porto o mercante. Giri la tessera = punti + reddito.</t>
        </is>
      </c>
      <c r="D8" s="11" t="inlineStr">
        <is>
          <t>Difficile</t>
        </is>
      </c>
      <c r="E8" s="11" t="inlineStr">
        <is>
          <t>Vendita</t>
        </is>
      </c>
      <c r="F8" s="12" t="inlineStr"/>
      <c r="G8" s="11" t="inlineStr"/>
    </row>
    <row r="9">
      <c r="A9" s="9" t="n">
        <v>6</v>
      </c>
      <c r="B9" s="10" t="inlineStr">
        <is>
          <t>Reddito vs punti?</t>
        </is>
      </c>
      <c r="C9" s="10" t="inlineStr">
        <is>
          <t>Punti vittoria: traccia VP. Reddito: soldi ricevuti ogni turno. Sono tracce separate.</t>
        </is>
      </c>
      <c r="D9" s="9" t="inlineStr">
        <is>
          <t>Media</t>
        </is>
      </c>
      <c r="E9" s="9" t="inlineStr">
        <is>
          <t>Economia</t>
        </is>
      </c>
      <c r="F9" s="10" t="inlineStr"/>
      <c r="G9" s="9" t="inlineStr"/>
    </row>
    <row r="10">
      <c r="A10" s="9" t="n">
        <v>7</v>
      </c>
      <c r="B10" s="10" t="inlineStr">
        <is>
          <t>Carbone e ferro: come li ottengo?</t>
        </is>
      </c>
      <c r="C10" s="10" t="inlineStr">
        <is>
          <t>Dalle tue industrie (quando girate) o dal mercato (costo crescente). Devono essere raggiungibili via link.</t>
        </is>
      </c>
      <c r="D10" s="9" t="inlineStr">
        <is>
          <t>Media</t>
        </is>
      </c>
      <c r="E10" s="9" t="inlineStr">
        <is>
          <t>Risorse</t>
        </is>
      </c>
      <c r="F10" s="10" t="inlineStr"/>
      <c r="G10" s="9" t="inlineStr"/>
    </row>
    <row r="11">
      <c r="A11" s="11" t="n">
        <v>8</v>
      </c>
      <c r="B11" s="12" t="inlineStr">
        <is>
          <t>Cosa succede tra le ere?</t>
        </is>
      </c>
      <c r="C11" s="12" t="inlineStr">
        <is>
          <t>Tutti i link e gli edifici livello 1 vengono rimossi. Gli edifici livello 2+ restano. Si rimescola e riparte.</t>
        </is>
      </c>
      <c r="D11" s="11" t="inlineStr">
        <is>
          <t>Difficile</t>
        </is>
      </c>
      <c r="E11" s="11" t="inlineStr">
        <is>
          <t>Transizione</t>
        </is>
      </c>
      <c r="F11" s="12" t="inlineStr"/>
      <c r="G11" s="11" t="inlineStr"/>
    </row>
    <row r="12">
      <c r="A12" s="9" t="n">
        <v>9</v>
      </c>
      <c r="B12" s="10" t="inlineStr">
        <is>
          <t>Birra: come funziona?</t>
        </is>
      </c>
      <c r="C12" s="10" t="inlineStr">
        <is>
          <t>Le birrerie producono birra quando costruite. La birra e necessaria per vendere. Si consuma quando usata.</t>
        </is>
      </c>
      <c r="D12" s="9" t="inlineStr">
        <is>
          <t>Media</t>
        </is>
      </c>
      <c r="E12" s="9" t="inlineStr">
        <is>
          <t>Birra</t>
        </is>
      </c>
      <c r="F12" s="10" t="inlineStr"/>
      <c r="G12" s="9" t="inlineStr"/>
    </row>
    <row r="13">
      <c r="A13" s="7" t="n">
        <v>10</v>
      </c>
      <c r="B13" s="8" t="inlineStr">
        <is>
          <t>Quando finisce?</t>
        </is>
      </c>
      <c r="C13" s="8" t="inlineStr">
        <is>
          <t>Alla fine dell'era delle Ferrovie, dopo che tutti hanno giocato tutte le carte.</t>
        </is>
      </c>
      <c r="D13" s="7" t="inlineStr">
        <is>
          <t>Facile</t>
        </is>
      </c>
      <c r="E13" s="7" t="inlineStr">
        <is>
          <t>Fine Partita</t>
        </is>
      </c>
      <c r="F13" s="8" t="inlineStr"/>
      <c r="G13" s="7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Clank!</t>
        </is>
      </c>
    </row>
    <row r="2">
      <c r="A2" s="6" t="inlineStr">
        <is>
          <t>Totale: 10 | Facili: 3 | Medie: 5 | Difficili: 2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Qual e l'obiettivo?</t>
        </is>
      </c>
      <c r="C4" s="8" t="inlineStr">
        <is>
          <t>Entrare nel dungeon, rubare un artefatto, e uscire vivo. Piu artefatti di valore = piu punti.</t>
        </is>
      </c>
      <c r="D4" s="7" t="inlineStr">
        <is>
          <t>Facile</t>
        </is>
      </c>
      <c r="E4" s="7" t="inlineStr">
        <is>
          <t>Obiettivo</t>
        </is>
      </c>
      <c r="F4" s="8" t="inlineStr"/>
      <c r="G4" s="7" t="inlineStr"/>
    </row>
    <row r="5">
      <c r="A5" s="9" t="n">
        <v>2</v>
      </c>
      <c r="B5" s="10" t="inlineStr">
        <is>
          <t>Come funziona il Clank?</t>
        </is>
      </c>
      <c r="C5" s="10" t="inlineStr">
        <is>
          <t>Alcune carte generano Clank (rumore). I tuoi cubi Clank vanno nel sacchetto. Il drago attacca: pesca cubi dal sacchetto.</t>
        </is>
      </c>
      <c r="D5" s="9" t="inlineStr">
        <is>
          <t>Media</t>
        </is>
      </c>
      <c r="E5" s="9" t="inlineStr">
        <is>
          <t>Clank</t>
        </is>
      </c>
      <c r="F5" s="10" t="inlineStr"/>
      <c r="G5" s="9" t="inlineStr"/>
    </row>
    <row r="6">
      <c r="A6" s="9" t="n">
        <v>3</v>
      </c>
      <c r="B6" s="10" t="inlineStr">
        <is>
          <t>Cosa succede se il drago mi colpisce?</t>
        </is>
      </c>
      <c r="C6" s="10" t="inlineStr">
        <is>
          <t>Per ogni tuo cubo pescato dal sacchetto, prendi 1 danno. Se finisci i punti vita, sei eliminato.</t>
        </is>
      </c>
      <c r="D6" s="9" t="inlineStr">
        <is>
          <t>Media</t>
        </is>
      </c>
      <c r="E6" s="9" t="inlineStr">
        <is>
          <t>Drago</t>
        </is>
      </c>
      <c r="F6" s="10" t="inlineStr"/>
      <c r="G6" s="9" t="inlineStr"/>
    </row>
    <row r="7">
      <c r="A7" s="7" t="n">
        <v>4</v>
      </c>
      <c r="B7" s="8" t="inlineStr">
        <is>
          <t>Come compro carte?</t>
        </is>
      </c>
      <c r="C7" s="8" t="inlineStr">
        <is>
          <t>Nella fase acquisto, spendi Abilita (simbolo spada azzurra) per comprare carte dal display o dalla riserva.</t>
        </is>
      </c>
      <c r="D7" s="7" t="inlineStr">
        <is>
          <t>Facile</t>
        </is>
      </c>
      <c r="E7" s="7" t="inlineStr">
        <is>
          <t>Carte</t>
        </is>
      </c>
      <c r="F7" s="8" t="inlineStr"/>
      <c r="G7" s="7" t="inlineStr"/>
    </row>
    <row r="8">
      <c r="A8" s="11" t="n">
        <v>5</v>
      </c>
      <c r="B8" s="12" t="inlineStr">
        <is>
          <t>Devo uscire dal dungeon?</t>
        </is>
      </c>
      <c r="C8" s="12" t="inlineStr">
        <is>
          <t>Si. Se sei sopra la linea con un artefatto quando muori o il gioco finisce, i tuoi punti contano. Sotto la linea: eliminato.</t>
        </is>
      </c>
      <c r="D8" s="11" t="inlineStr">
        <is>
          <t>Difficile</t>
        </is>
      </c>
      <c r="E8" s="11" t="inlineStr">
        <is>
          <t>Fuga</t>
        </is>
      </c>
      <c r="F8" s="12" t="inlineStr"/>
      <c r="G8" s="11" t="inlineStr"/>
    </row>
    <row r="9">
      <c r="A9" s="9" t="n">
        <v>6</v>
      </c>
      <c r="B9" s="10" t="inlineStr">
        <is>
          <t>Quando finisce?</t>
        </is>
      </c>
      <c r="C9" s="10" t="inlineStr">
        <is>
          <t>Quando un giocatore esce dal dungeon. Poi 4 round aggiuntivi per gli altri. Il drago attacca ogni round.</t>
        </is>
      </c>
      <c r="D9" s="9" t="inlineStr">
        <is>
          <t>Media</t>
        </is>
      </c>
      <c r="E9" s="9" t="inlineStr">
        <is>
          <t>Fine Partita</t>
        </is>
      </c>
      <c r="F9" s="10" t="inlineStr"/>
      <c r="G9" s="9" t="inlineStr"/>
    </row>
    <row r="10">
      <c r="A10" s="9" t="n">
        <v>7</v>
      </c>
      <c r="B10" s="10" t="inlineStr">
        <is>
          <t>Posso attaccare altri giocatori?</t>
        </is>
      </c>
      <c r="C10" s="10" t="inlineStr">
        <is>
          <t>No direttamente. Alcune carte possono forzare altri a generare Clank.</t>
        </is>
      </c>
      <c r="D10" s="9" t="inlineStr">
        <is>
          <t>Media</t>
        </is>
      </c>
      <c r="E10" s="9" t="inlineStr">
        <is>
          <t>Interazione</t>
        </is>
      </c>
      <c r="F10" s="10" t="inlineStr"/>
      <c r="G10" s="9" t="inlineStr"/>
    </row>
    <row r="11">
      <c r="A11" s="7" t="n">
        <v>8</v>
      </c>
      <c r="B11" s="8" t="inlineStr">
        <is>
          <t>Come funziona il deck-building?</t>
        </is>
      </c>
      <c r="C11" s="8" t="inlineStr">
        <is>
          <t>Inizi con un mazzo base. Compri carte migliori che entrano negli scarti. Quando il mazzo finisce, mescoli gli scarti.</t>
        </is>
      </c>
      <c r="D11" s="7" t="inlineStr">
        <is>
          <t>Facile</t>
        </is>
      </c>
      <c r="E11" s="7" t="inlineStr">
        <is>
          <t>Deck Building</t>
        </is>
      </c>
      <c r="F11" s="8" t="inlineStr"/>
      <c r="G11" s="7" t="inlineStr"/>
    </row>
    <row r="12">
      <c r="A12" s="9" t="n">
        <v>9</v>
      </c>
      <c r="B12" s="10" t="inlineStr">
        <is>
          <t>Posso muovermi e comprare nello stesso turno?</t>
        </is>
      </c>
      <c r="C12" s="10" t="inlineStr">
        <is>
          <t>Si. Gioca carte, muovi (spendi stivali), combatti mostri, compra carte. Tutto nello stesso turno.</t>
        </is>
      </c>
      <c r="D12" s="9" t="inlineStr">
        <is>
          <t>Media</t>
        </is>
      </c>
      <c r="E12" s="9" t="inlineStr">
        <is>
          <t>Turno</t>
        </is>
      </c>
      <c r="F12" s="10" t="inlineStr"/>
      <c r="G12" s="9" t="inlineStr"/>
    </row>
    <row r="13">
      <c r="A13" s="11" t="n">
        <v>10</v>
      </c>
      <c r="B13" s="12" t="inlineStr">
        <is>
          <t>Artefatti: posso prenderne piu di uno?</t>
        </is>
      </c>
      <c r="C13" s="12" t="inlineStr">
        <is>
          <t>Solo 1 artefatto. Puoi raccogliere token minori e segreti lungo il percorso.</t>
        </is>
      </c>
      <c r="D13" s="11" t="inlineStr">
        <is>
          <t>Difficile</t>
        </is>
      </c>
      <c r="E13" s="11" t="inlineStr">
        <is>
          <t>Artefatti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ECC71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60" customWidth="1" min="3" max="3"/>
    <col width="12" customWidth="1" min="4" max="4"/>
    <col width="16" customWidth="1" min="5" max="5"/>
    <col width="55" customWidth="1" min="6" max="6"/>
    <col width="12" customWidth="1" min="7" max="7"/>
  </cols>
  <sheetData>
    <row r="1">
      <c r="A1" s="5" t="inlineStr">
        <is>
          <t>Test Domande RAG - Photosynthesis</t>
        </is>
      </c>
    </row>
    <row r="2">
      <c r="A2" s="6" t="inlineStr">
        <is>
          <t>Totale: 10 | Facili: 3 | Medie: 4 | Difficili: 3</t>
        </is>
      </c>
    </row>
    <row r="3">
      <c r="A3" s="1" t="inlineStr">
        <is>
          <t>#</t>
        </is>
      </c>
      <c r="B3" s="1" t="inlineStr">
        <is>
          <t>Domanda</t>
        </is>
      </c>
      <c r="C3" s="1" t="inlineStr">
        <is>
          <t>Risposta Attesa</t>
        </is>
      </c>
      <c r="D3" s="1" t="inlineStr">
        <is>
          <t>Difficolta</t>
        </is>
      </c>
      <c r="E3" s="1" t="inlineStr">
        <is>
          <t>Categoria</t>
        </is>
      </c>
      <c r="F3" s="1" t="inlineStr">
        <is>
          <t>Risposta RAG</t>
        </is>
      </c>
      <c r="G3" s="1" t="inlineStr">
        <is>
          <t>Esito</t>
        </is>
      </c>
    </row>
    <row r="4">
      <c r="A4" s="7" t="n">
        <v>1</v>
      </c>
      <c r="B4" s="8" t="inlineStr">
        <is>
          <t>Come funziona la luce?</t>
        </is>
      </c>
      <c r="C4" s="8" t="inlineStr">
        <is>
          <t>Il sole ruota attorno al tabellone. Gli alberi raccolgono punti luce in base alla loro altezza e posizione rispetto al sole.</t>
        </is>
      </c>
      <c r="D4" s="7" t="inlineStr">
        <is>
          <t>Facile</t>
        </is>
      </c>
      <c r="E4" s="7" t="inlineStr">
        <is>
          <t>Luce</t>
        </is>
      </c>
      <c r="F4" s="8" t="inlineStr"/>
      <c r="G4" s="7" t="inlineStr"/>
    </row>
    <row r="5">
      <c r="A5" s="9" t="n">
        <v>2</v>
      </c>
      <c r="B5" s="10" t="inlineStr">
        <is>
          <t>Cosa blocca la luce?</t>
        </is>
      </c>
      <c r="C5" s="10" t="inlineStr">
        <is>
          <t>Alberi piu alti bloccano alberi uguali o piu bassi nella stessa linea d'ombra. L'ombra si estende per tante caselle quanta e l'altezza.</t>
        </is>
      </c>
      <c r="D5" s="9" t="inlineStr">
        <is>
          <t>Media</t>
        </is>
      </c>
      <c r="E5" s="9" t="inlineStr">
        <is>
          <t>Ombra</t>
        </is>
      </c>
      <c r="F5" s="10" t="inlineStr"/>
      <c r="G5" s="9" t="inlineStr"/>
    </row>
    <row r="6">
      <c r="A6" s="9" t="n">
        <v>3</v>
      </c>
      <c r="B6" s="10" t="inlineStr">
        <is>
          <t>Come cresco un albero?</t>
        </is>
      </c>
      <c r="C6" s="10" t="inlineStr">
        <is>
          <t>Spendi punti luce: Seme-&gt;Piccolo (1PL), Piccolo-&gt;Medio (2PL), Medio-&gt;Grande (3PL). Piu il costo del pezzo.</t>
        </is>
      </c>
      <c r="D6" s="9" t="inlineStr">
        <is>
          <t>Media</t>
        </is>
      </c>
      <c r="E6" s="9" t="inlineStr">
        <is>
          <t>Crescita</t>
        </is>
      </c>
      <c r="F6" s="10" t="inlineStr"/>
      <c r="G6" s="9" t="inlineStr"/>
    </row>
    <row r="7">
      <c r="A7" s="9" t="n">
        <v>4</v>
      </c>
      <c r="B7" s="10" t="inlineStr">
        <is>
          <t>Come raccolgo punti?</t>
        </is>
      </c>
      <c r="C7" s="10" t="inlineStr">
        <is>
          <t>Taglia un albero Grande: spendi 4 punti luce. Ricevi un segnalino punteggio dalla casella (piu al centro = piu punti).</t>
        </is>
      </c>
      <c r="D7" s="9" t="inlineStr">
        <is>
          <t>Media</t>
        </is>
      </c>
      <c r="E7" s="9" t="inlineStr">
        <is>
          <t>Punteggio</t>
        </is>
      </c>
      <c r="F7" s="10" t="inlineStr"/>
      <c r="G7" s="9" t="inlineStr"/>
    </row>
    <row r="8">
      <c r="A8" s="9" t="n">
        <v>5</v>
      </c>
      <c r="B8" s="10" t="inlineStr">
        <is>
          <t>Posso piantare semi ovunque?</t>
        </is>
      </c>
      <c r="C8" s="10" t="inlineStr">
        <is>
          <t>No. Un albero puo piantare semi entro un raggio pari alla sua altezza (Piccolo=1, Medio=2, Grande=3).</t>
        </is>
      </c>
      <c r="D8" s="9" t="inlineStr">
        <is>
          <t>Media</t>
        </is>
      </c>
      <c r="E8" s="9" t="inlineStr">
        <is>
          <t>Semi</t>
        </is>
      </c>
      <c r="F8" s="10" t="inlineStr"/>
      <c r="G8" s="9" t="inlineStr"/>
    </row>
    <row r="9">
      <c r="A9" s="7" t="n">
        <v>6</v>
      </c>
      <c r="B9" s="8" t="inlineStr">
        <is>
          <t>Quanti turni dura il gioco?</t>
        </is>
      </c>
      <c r="C9" s="8" t="inlineStr">
        <is>
          <t>Il sole compie 3 giri completi (18 turni). Oppure 4 giri per partita avanzata.</t>
        </is>
      </c>
      <c r="D9" s="7" t="inlineStr">
        <is>
          <t>Facile</t>
        </is>
      </c>
      <c r="E9" s="7" t="inlineStr">
        <is>
          <t>Durata</t>
        </is>
      </c>
      <c r="F9" s="8" t="inlineStr"/>
      <c r="G9" s="7" t="inlineStr"/>
    </row>
    <row r="10">
      <c r="A10" s="11" t="n">
        <v>7</v>
      </c>
      <c r="B10" s="12" t="inlineStr">
        <is>
          <t>Posso attivare lo stesso albero 2 volte?</t>
        </is>
      </c>
      <c r="C10" s="12" t="inlineStr">
        <is>
          <t>No. Ogni albero puo fare 1 azione per turno (crescere, piantare, o essere tagliato).</t>
        </is>
      </c>
      <c r="D10" s="11" t="inlineStr">
        <is>
          <t>Difficile</t>
        </is>
      </c>
      <c r="E10" s="11" t="inlineStr">
        <is>
          <t>Azioni</t>
        </is>
      </c>
      <c r="F10" s="12" t="inlineStr"/>
      <c r="G10" s="11" t="inlineStr"/>
    </row>
    <row r="11">
      <c r="A11" s="7" t="n">
        <v>8</v>
      </c>
      <c r="B11" s="8" t="inlineStr">
        <is>
          <t>I punti luce si accumulano?</t>
        </is>
      </c>
      <c r="C11" s="8" t="inlineStr">
        <is>
          <t>Si, fino a un massimo di 20. Non si resettano.</t>
        </is>
      </c>
      <c r="D11" s="7" t="inlineStr">
        <is>
          <t>Facile</t>
        </is>
      </c>
      <c r="E11" s="7" t="inlineStr">
        <is>
          <t>Luce</t>
        </is>
      </c>
      <c r="F11" s="8" t="inlineStr"/>
      <c r="G11" s="7" t="inlineStr"/>
    </row>
    <row r="12">
      <c r="A12" s="11" t="n">
        <v>9</v>
      </c>
      <c r="B12" s="12" t="inlineStr">
        <is>
          <t>Posso piantare/crescere e tagliare nello stesso turno?</t>
        </is>
      </c>
      <c r="C12" s="12" t="inlineStr">
        <is>
          <t>Non lo stesso albero. Ma puoi fare azioni diverse su alberi diversi.</t>
        </is>
      </c>
      <c r="D12" s="11" t="inlineStr">
        <is>
          <t>Difficile</t>
        </is>
      </c>
      <c r="E12" s="11" t="inlineStr">
        <is>
          <t>Azioni</t>
        </is>
      </c>
      <c r="F12" s="12" t="inlineStr"/>
      <c r="G12" s="11" t="inlineStr"/>
    </row>
    <row r="13">
      <c r="A13" s="11" t="n">
        <v>10</v>
      </c>
      <c r="B13" s="12" t="inlineStr">
        <is>
          <t>Costo dei pezzi dal tabellone personale?</t>
        </is>
      </c>
      <c r="C13" s="12" t="inlineStr">
        <is>
          <t>Il costo dipende da quanti pezzi di quel tipo ti restano. Meno ne hai, piu costano.</t>
        </is>
      </c>
      <c r="D13" s="11" t="inlineStr">
        <is>
          <t>Difficile</t>
        </is>
      </c>
      <c r="E13" s="11" t="inlineStr">
        <is>
          <t>Economia</t>
        </is>
      </c>
      <c r="F13" s="12" t="inlineStr"/>
      <c r="G13" s="11" t="inlineStr"/>
    </row>
    <row r="15">
      <c r="A15" s="4" t="inlineStr">
        <is>
          <t>Riepilogo Test</t>
        </is>
      </c>
    </row>
    <row r="16">
      <c r="A16" s="4" t="inlineStr">
        <is>
          <t>Corrette:</t>
        </is>
      </c>
      <c r="B16">
        <f>COUNTIF(G4:G13,"OK")</f>
        <v/>
      </c>
    </row>
    <row r="17">
      <c r="A17" s="4" t="inlineStr">
        <is>
          <t>Parziali:</t>
        </is>
      </c>
      <c r="B17">
        <f>COUNTIF(G4:G13,"Parziale")</f>
        <v/>
      </c>
    </row>
    <row r="18">
      <c r="A18" s="4" t="inlineStr">
        <is>
          <t>Errate:</t>
        </is>
      </c>
      <c r="B18">
        <f>COUNTIF(G4:G13,"KO")</f>
        <v/>
      </c>
    </row>
    <row r="19">
      <c r="A19" s="4" t="inlineStr">
        <is>
          <t>Accuratezza:</t>
        </is>
      </c>
      <c r="B19" s="13">
        <f>IF(COUNTA(G4:G13)=0,"N/A",COUNTIF(G4:G13,"OK")/COUNTA(G4:G13))</f>
        <v/>
      </c>
    </row>
  </sheetData>
  <mergeCells count="2">
    <mergeCell ref="A2:G2"/>
    <mergeCell ref="A1:G1"/>
  </mergeCells>
  <dataValidations count="1">
    <dataValidation sqref="G4 G5 G6 G7 G8 G9 G10 G11 G12 G13" showDropDown="0" showInputMessage="0" showErrorMessage="0" allowBlank="1" error="Scegli: OK, Parziale, KO, N/T" type="list">
      <formula1>"OK,Parziale,KO,N/T"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2026-03-08T20:32:23Z</dcterms:created>
  <dcterms:modified xmlns:dcterms="http://purl.org/dc/terms/" xmlns:xsi="http://www.w3.org/2001/XMLSchema-instance" xsi:type="dcterms:W3CDTF">2026-03-08T20:32:23Z</dcterms:modified>
</cp:coreProperties>
</file>