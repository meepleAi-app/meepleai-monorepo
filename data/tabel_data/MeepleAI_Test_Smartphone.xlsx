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sitories\meepleai-monorepo-backend\docs\testing\"/>
    </mc:Choice>
  </mc:AlternateContent>
  <xr:revisionPtr revIDLastSave="0" documentId="13_ncr:1_{408C8815-3135-4956-97D3-16B2EAEBC91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Test Smartphone" sheetId="1" r:id="rId1"/>
    <sheet name="Riepilogo" sheetId="2" r:id="rId2"/>
    <sheet name="Legenda" sheetId="3" r:id="rId3"/>
  </sheets>
  <definedNames>
    <definedName name="_xlnm._FilterDatabase" localSheetId="0" hidden="1">'Test Smartphone'!$A$1:$M$274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B11" i="2"/>
  <c r="G10" i="2"/>
  <c r="F10" i="2"/>
  <c r="E10" i="2"/>
  <c r="B10" i="2"/>
  <c r="G9" i="2"/>
  <c r="F9" i="2"/>
  <c r="E9" i="2"/>
  <c r="B9" i="2"/>
  <c r="G8" i="2"/>
  <c r="F8" i="2"/>
  <c r="E8" i="2"/>
  <c r="B8" i="2"/>
  <c r="G7" i="2"/>
  <c r="F7" i="2"/>
  <c r="E7" i="2"/>
  <c r="B7" i="2"/>
  <c r="B14" i="2" s="1"/>
  <c r="G6" i="2"/>
  <c r="F6" i="2"/>
  <c r="E6" i="2"/>
  <c r="G5" i="2"/>
  <c r="F5" i="2"/>
  <c r="E5" i="2"/>
  <c r="B5" i="2"/>
  <c r="G4" i="2"/>
  <c r="F4" i="2"/>
  <c r="E4" i="2"/>
  <c r="B4" i="2"/>
  <c r="G3" i="2"/>
  <c r="F3" i="2"/>
  <c r="E3" i="2"/>
  <c r="B3" i="2"/>
  <c r="G2" i="2"/>
  <c r="F2" i="2"/>
  <c r="E2" i="2"/>
  <c r="B2" i="2"/>
  <c r="B13" i="2" s="1"/>
</calcChain>
</file>

<file path=xl/sharedStrings.xml><?xml version="1.0" encoding="utf-8"?>
<sst xmlns="http://schemas.openxmlformats.org/spreadsheetml/2006/main" count="2047" uniqueCount="1296">
  <si>
    <t>Area</t>
  </si>
  <si>
    <t>Sotto-Area</t>
  </si>
  <si>
    <t>Test Case</t>
  </si>
  <si>
    <t>Passi</t>
  </si>
  <si>
    <t>Risultato Atteso</t>
  </si>
  <si>
    <t>Prio</t>
  </si>
  <si>
    <t>Stato</t>
  </si>
  <si>
    <t>Note/Bug</t>
  </si>
  <si>
    <t>Tester</t>
  </si>
  <si>
    <t>Data</t>
  </si>
  <si>
    <t>Device</t>
  </si>
  <si>
    <t>OS</t>
  </si>
  <si>
    <t>T-001</t>
  </si>
  <si>
    <t>AUTH</t>
  </si>
  <si>
    <t>Login</t>
  </si>
  <si>
    <t>Login email/password</t>
  </si>
  <si>
    <t>App &gt; Login &gt; Credenziali &gt; Accedi</t>
  </si>
  <si>
    <t>Redirect /dashboard, sessione attiva</t>
  </si>
  <si>
    <t>P0</t>
  </si>
  <si>
    <t>T-002</t>
  </si>
  <si>
    <t>Login credenziali errate</t>
  </si>
  <si>
    <t>Email/password sbagliati &gt; Accedi</t>
  </si>
  <si>
    <t>Errore visibile, no redirect</t>
  </si>
  <si>
    <t>T-003</t>
  </si>
  <si>
    <t>Login OAuth Google</t>
  </si>
  <si>
    <t>Accedi con Google &gt; OAuth</t>
  </si>
  <si>
    <t>Redirect /dashboard account Google</t>
  </si>
  <si>
    <t>T-004</t>
  </si>
  <si>
    <t>Redirect post-login (from)</t>
  </si>
  <si>
    <t>Accedi /library senza login &gt; Login</t>
  </si>
  <si>
    <t>Redirect /library (from preservato)</t>
  </si>
  <si>
    <t>P1</t>
  </si>
  <si>
    <t>T-005</t>
  </si>
  <si>
    <t>Sessione scaduta</t>
  </si>
  <si>
    <t>Sessione scade &gt; Naviga</t>
  </si>
  <si>
    <t>Redirect /login?reason=session_expired</t>
  </si>
  <si>
    <t>T-006</t>
  </si>
  <si>
    <t>Registrazione</t>
  </si>
  <si>
    <t>Registrazione utente</t>
  </si>
  <si>
    <t>Registrati &gt; Form &gt; Invia</t>
  </si>
  <si>
    <t>Redirect /verification-pending</t>
  </si>
  <si>
    <t>T-007</t>
  </si>
  <si>
    <t>Validazione form</t>
  </si>
  <si>
    <t>Campi vuoti/email invalida &gt; Invia</t>
  </si>
  <si>
    <t>Messaggi validazione inline</t>
  </si>
  <si>
    <t>T-008</t>
  </si>
  <si>
    <t>Email</t>
  </si>
  <si>
    <t>Verifica email da link</t>
  </si>
  <si>
    <t>Apri link verifica su phone</t>
  </si>
  <si>
    <t>Pagina /verification-success</t>
  </si>
  <si>
    <t>T-009</t>
  </si>
  <si>
    <t>Verifica pending</t>
  </si>
  <si>
    <t>Dopo registrazione</t>
  </si>
  <si>
    <t>Istruzioni, link re-invio</t>
  </si>
  <si>
    <t>T-010</t>
  </si>
  <si>
    <t>Password</t>
  </si>
  <si>
    <t>Reset password</t>
  </si>
  <si>
    <t>Password dimenticata &gt; Email</t>
  </si>
  <si>
    <t>Email ricevuta, link ok</t>
  </si>
  <si>
    <t>T-011</t>
  </si>
  <si>
    <t>Cambio da reset link</t>
  </si>
  <si>
    <t>Link reset &gt; Nuova pwd &gt; Conferma</t>
  </si>
  <si>
    <t>Password aggiornata, redirect login</t>
  </si>
  <si>
    <t>T-012</t>
  </si>
  <si>
    <t>Logout</t>
  </si>
  <si>
    <t>Menu &gt; Logout</t>
  </si>
  <si>
    <t>Sessione invalidata, redirect landing</t>
  </si>
  <si>
    <t>T-013</t>
  </si>
  <si>
    <t>OAuth</t>
  </si>
  <si>
    <t>Callback OAuth</t>
  </si>
  <si>
    <t>OAuth &gt; /oauth-callback</t>
  </si>
  <si>
    <t>Token processato, redirect</t>
  </si>
  <si>
    <t>T-014</t>
  </si>
  <si>
    <t>Welcome</t>
  </si>
  <si>
    <t>Welcome post-registrazione</t>
  </si>
  <si>
    <t>Reg + verifica completata</t>
  </si>
  <si>
    <t>Pagina /welcome onboarding</t>
  </si>
  <si>
    <t>P2</t>
  </si>
  <si>
    <t>T-015</t>
  </si>
  <si>
    <t>NAV</t>
  </si>
  <si>
    <t>TabBar</t>
  </si>
  <si>
    <t>TabBar visibile mobile</t>
  </si>
  <si>
    <t>Apri app smartphone</t>
  </si>
  <si>
    <t>5 tab: Dashboard/Library/Discover/Chat/Profile</t>
  </si>
  <si>
    <t>T-016</t>
  </si>
  <si>
    <t>Tab attivo evidenziato</t>
  </si>
  <si>
    <t>Tap ogni tab</t>
  </si>
  <si>
    <t>text-primary font-semibold</t>
  </si>
  <si>
    <t>T-017</t>
  </si>
  <si>
    <t>TabBar nascosta desktop</t>
  </si>
  <si>
    <t>Schermo &gt;768px</t>
  </si>
  <si>
    <t>TabBar non visibile</t>
  </si>
  <si>
    <t>T-018</t>
  </si>
  <si>
    <t>Safe area iPhone notch</t>
  </si>
  <si>
    <t>iPhone con notch/Dynamic Island</t>
  </si>
  <si>
    <t>Padding safe-area-inset-bottom</t>
  </si>
  <si>
    <t>T-019</t>
  </si>
  <si>
    <t>Tab guest non autenticato</t>
  </si>
  <si>
    <t>App senza login</t>
  </si>
  <si>
    <t>Solo Dashboard + Discover</t>
  </si>
  <si>
    <t>T-020</t>
  </si>
  <si>
    <t>FAB</t>
  </si>
  <si>
    <t>FAB contestuale per pagina</t>
  </si>
  <si>
    <t>Naviga tra pagine diverse</t>
  </si>
  <si>
    <t>Azioni specifiche per pagina</t>
  </si>
  <si>
    <t>T-021</t>
  </si>
  <si>
    <t>FAB nascosto scroll down</t>
  </si>
  <si>
    <t>Scroll &gt;50px giu</t>
  </si>
  <si>
    <t>FAB scompare</t>
  </si>
  <si>
    <t>T-022</t>
  </si>
  <si>
    <t>FAB riappare scroll up</t>
  </si>
  <si>
    <t>Scroll su dopo nascosto</t>
  </si>
  <si>
    <t>FAB riappare</t>
  </si>
  <si>
    <t>T-023</t>
  </si>
  <si>
    <t>FAB nascosto con tastiera</t>
  </si>
  <si>
    <t>Tap campo input</t>
  </si>
  <si>
    <t>T-024</t>
  </si>
  <si>
    <t>Long-press azione disabilitata</t>
  </si>
  <si>
    <t>500ms su azione disabilitata</t>
  </si>
  <si>
    <t>Tooltip mostrato</t>
  </si>
  <si>
    <t>T-025</t>
  </si>
  <si>
    <t>FAB sopra TabBar</t>
  </si>
  <si>
    <t>Posizione FAB mobile</t>
  </si>
  <si>
    <t>Sopra TabBar (72px+1.5rem)</t>
  </si>
  <si>
    <t>T-026</t>
  </si>
  <si>
    <t>TopNavbar</t>
  </si>
  <si>
    <t>Navbar sticky</t>
  </si>
  <si>
    <t>Scroll giu</t>
  </si>
  <si>
    <t>Navbar fissa in alto</t>
  </si>
  <si>
    <t>T-027</t>
  </si>
  <si>
    <t>Search navbar</t>
  </si>
  <si>
    <t>Tap ricerca &gt; Digita</t>
  </si>
  <si>
    <t>Risultati mostrati</t>
  </si>
  <si>
    <t>T-028</t>
  </si>
  <si>
    <t>Badge notifiche</t>
  </si>
  <si>
    <t>Campanella</t>
  </si>
  <si>
    <t>Badge non lette</t>
  </si>
  <si>
    <t>T-029</t>
  </si>
  <si>
    <t>Menu utente</t>
  </si>
  <si>
    <t>Tap avatar</t>
  </si>
  <si>
    <t>Dropdown profilo/settings/logout</t>
  </si>
  <si>
    <t>T-030</t>
  </si>
  <si>
    <t>Breadcrumb</t>
  </si>
  <si>
    <t>Breadcrumb mobile</t>
  </si>
  <si>
    <t>Naviga Library &gt; Game &gt; Toolkit</t>
  </si>
  <si>
    <t>Breadcrumb compatto</t>
  </si>
  <si>
    <t>T-031</t>
  </si>
  <si>
    <t>Layout</t>
  </si>
  <si>
    <t>Viewport dinamico dvh</t>
  </si>
  <si>
    <t>Chat su mobile browser</t>
  </si>
  <si>
    <t>h-dvh senza salto barra</t>
  </si>
  <si>
    <t>T-032</t>
  </si>
  <si>
    <t>Padding bottom TabBar</t>
  </si>
  <si>
    <t>Scroll fondo pagina</t>
  </si>
  <si>
    <t>Contenuto non nascosto (pb-24)</t>
  </si>
  <si>
    <t>T-033</t>
  </si>
  <si>
    <t>DASH</t>
  </si>
  <si>
    <t>Hub</t>
  </si>
  <si>
    <t>Dashboard caricamento</t>
  </si>
  <si>
    <t>Login &gt; Dashboard</t>
  </si>
  <si>
    <t>Widget stats, attivita, libreria</t>
  </si>
  <si>
    <t>T-034</t>
  </si>
  <si>
    <t>Statistiche sessioni</t>
  </si>
  <si>
    <t>Widget sessioni</t>
  </si>
  <si>
    <t>Conteggio, ultima, tempo</t>
  </si>
  <si>
    <t>T-035</t>
  </si>
  <si>
    <t>Attivita recente</t>
  </si>
  <si>
    <t>Sezione attivita</t>
  </si>
  <si>
    <t>Lista con timestamp</t>
  </si>
  <si>
    <t>T-036</t>
  </si>
  <si>
    <t>Riepilogo libreria</t>
  </si>
  <si>
    <t>Widget libreria</t>
  </si>
  <si>
    <t>Giochi, wishlist, collection</t>
  </si>
  <si>
    <t>T-037</t>
  </si>
  <si>
    <t>AI usage meter</t>
  </si>
  <si>
    <t>Meter AI</t>
  </si>
  <si>
    <t>Barra query usate/disponibili</t>
  </si>
  <si>
    <t>T-038</t>
  </si>
  <si>
    <t>Quick actions</t>
  </si>
  <si>
    <t>Link rapidi</t>
  </si>
  <si>
    <t>Link funzionanti</t>
  </si>
  <si>
    <t>T-039</t>
  </si>
  <si>
    <t>Onboarding checklist</t>
  </si>
  <si>
    <t>Primo accesso</t>
  </si>
  <si>
    <t>Steps con progresso</t>
  </si>
  <si>
    <t>T-040</t>
  </si>
  <si>
    <t>AI Usage</t>
  </si>
  <si>
    <t>Uso AI personale</t>
  </si>
  <si>
    <t>/dashboard/my-ai-usage</t>
  </si>
  <si>
    <t>Stats query dettagliate</t>
  </si>
  <si>
    <t>T-041</t>
  </si>
  <si>
    <t>Budget</t>
  </si>
  <si>
    <t>/dashboard/budget</t>
  </si>
  <si>
    <t>Tracking visibile</t>
  </si>
  <si>
    <t>T-042</t>
  </si>
  <si>
    <t>LIB</t>
  </si>
  <si>
    <t>Tabs</t>
  </si>
  <si>
    <t>Tab Collection</t>
  </si>
  <si>
    <t>/library &gt; Collection</t>
  </si>
  <si>
    <t>Giochi catalogo condiviso</t>
  </si>
  <si>
    <t>T-043</t>
  </si>
  <si>
    <t>Tab Games (privati)</t>
  </si>
  <si>
    <t>/library &gt; Games</t>
  </si>
  <si>
    <t>Giochi privati</t>
  </si>
  <si>
    <t>T-044</t>
  </si>
  <si>
    <t>Tab Wishlist</t>
  </si>
  <si>
    <t>/library &gt; Wishlist</t>
  </si>
  <si>
    <t>Lista wishlist</t>
  </si>
  <si>
    <t>T-045</t>
  </si>
  <si>
    <t>Stats</t>
  </si>
  <si>
    <t>Statistiche libreria</t>
  </si>
  <si>
    <t>GET /library/stats</t>
  </si>
  <si>
    <t>Contatori corretti</t>
  </si>
  <si>
    <t>T-046</t>
  </si>
  <si>
    <t>Quota libreria</t>
  </si>
  <si>
    <t>GET /library/quota</t>
  </si>
  <si>
    <t>Usata/disponibile per tier</t>
  </si>
  <si>
    <t>T-047</t>
  </si>
  <si>
    <t>CRUD</t>
  </si>
  <si>
    <t>Aggiungi gioco</t>
  </si>
  <si>
    <t>Catalogo &gt; Aggiungi a Libreria</t>
  </si>
  <si>
    <t>Aggiunto, contatore up</t>
  </si>
  <si>
    <t>T-048</t>
  </si>
  <si>
    <t>Rimuovi gioco</t>
  </si>
  <si>
    <t>Swipe/menu &gt; Rimuovi</t>
  </si>
  <si>
    <t>Rimosso dalla lista</t>
  </si>
  <si>
    <t>T-049</t>
  </si>
  <si>
    <t>Dettaglio</t>
  </si>
  <si>
    <t>Dettaglio gioco libreria</t>
  </si>
  <si>
    <t>/library/games/[id]</t>
  </si>
  <si>
    <t>Stats, sessioni, checklist</t>
  </si>
  <si>
    <t>T-050</t>
  </si>
  <si>
    <t>Cambio stato gioco</t>
  </si>
  <si>
    <t>Dettaglio &gt; Owned/InPrestito/Wishlist/Nuovo</t>
  </si>
  <si>
    <t>Stato aggiornato</t>
  </si>
  <si>
    <t>T-051</t>
  </si>
  <si>
    <t>Note</t>
  </si>
  <si>
    <t>Note su gioco</t>
  </si>
  <si>
    <t>Dettaglio &gt; Note</t>
  </si>
  <si>
    <t>Salvate e persistenti</t>
  </si>
  <si>
    <t>T-052</t>
  </si>
  <si>
    <t>Preferiti</t>
  </si>
  <si>
    <t>Segna preferito</t>
  </si>
  <si>
    <t>Tap stella</t>
  </si>
  <si>
    <t>Marcato preferito</t>
  </si>
  <si>
    <t>T-053</t>
  </si>
  <si>
    <t>Labels</t>
  </si>
  <si>
    <t>Gestione etichette</t>
  </si>
  <si>
    <t>Aggiungi/Rimuovi label</t>
  </si>
  <si>
    <t>Label assegnata/rimossa</t>
  </si>
  <si>
    <t>T-054</t>
  </si>
  <si>
    <t>Crea nuova label</t>
  </si>
  <si>
    <t>Crea nuova</t>
  </si>
  <si>
    <t>Disponibile per assegnazione</t>
  </si>
  <si>
    <t>T-055</t>
  </si>
  <si>
    <t>Agent</t>
  </si>
  <si>
    <t>Config agente per gioco</t>
  </si>
  <si>
    <t>/library/games/[id]/agent</t>
  </si>
  <si>
    <t>Config AI salvata</t>
  </si>
  <si>
    <t>T-056</t>
  </si>
  <si>
    <t>PDF</t>
  </si>
  <si>
    <t>Stato PDF per gioco</t>
  </si>
  <si>
    <t>Gioco con PDF caricato</t>
  </si>
  <si>
    <t>Stato pipeline visibile</t>
  </si>
  <si>
    <t>T-057</t>
  </si>
  <si>
    <t>Lista PDF per gioco</t>
  </si>
  <si>
    <t>Sezione PDF</t>
  </si>
  <si>
    <t>Lista con stato/metadata</t>
  </si>
  <si>
    <t>T-058</t>
  </si>
  <si>
    <t>Entity</t>
  </si>
  <si>
    <t>Entity links gioco-PDF</t>
  </si>
  <si>
    <t>Entity links su gioco</t>
  </si>
  <si>
    <t>Bidirezionali visibili</t>
  </si>
  <si>
    <t>T-059</t>
  </si>
  <si>
    <t>Batch</t>
  </si>
  <si>
    <t>Batch status giochi</t>
  </si>
  <si>
    <t>Lista con molti giochi</t>
  </si>
  <si>
    <t>Caricato efficientemente</t>
  </si>
  <si>
    <t>T-060</t>
  </si>
  <si>
    <t>Sharing</t>
  </si>
  <si>
    <t>Condividi libreria</t>
  </si>
  <si>
    <t>Impostazioni &gt; Condividi</t>
  </si>
  <si>
    <t>Token generato copiabile</t>
  </si>
  <si>
    <t>T-061</t>
  </si>
  <si>
    <t>Accesso libreria condivisa</t>
  </si>
  <si>
    <t>/library/shared/[token]</t>
  </si>
  <si>
    <t>Visibile senza login</t>
  </si>
  <si>
    <t>T-062</t>
  </si>
  <si>
    <t>Revoca condivisione</t>
  </si>
  <si>
    <t>Revoca</t>
  </si>
  <si>
    <t>Link non funzionante</t>
  </si>
  <si>
    <t>T-063</t>
  </si>
  <si>
    <t>PRIV</t>
  </si>
  <si>
    <t>Lista</t>
  </si>
  <si>
    <t>Lista giochi privati</t>
  </si>
  <si>
    <t>/library/private</t>
  </si>
  <si>
    <t>Lista con ricerca</t>
  </si>
  <si>
    <t>T-064</t>
  </si>
  <si>
    <t>Wizard</t>
  </si>
  <si>
    <t>Wizard aggiunta</t>
  </si>
  <si>
    <t>/library/private/add multi-step</t>
  </si>
  <si>
    <t>Wizard: titolo, BGG/manuale, immagine</t>
  </si>
  <si>
    <t>T-065</t>
  </si>
  <si>
    <t>Ricerca BGG nel wizard</t>
  </si>
  <si>
    <t>Step BGG &gt; Digita nome</t>
  </si>
  <si>
    <t>Risultati BGG selezionabili</t>
  </si>
  <si>
    <t>T-066</t>
  </si>
  <si>
    <t>Aggiunta manuale no BGG</t>
  </si>
  <si>
    <t>Step manuale &gt; Compila</t>
  </si>
  <si>
    <t>Gioco creato manuale</t>
  </si>
  <si>
    <t>T-067</t>
  </si>
  <si>
    <t>Dettaglio gioco privato</t>
  </si>
  <si>
    <t>/library/private/[id]</t>
  </si>
  <si>
    <t>Info complete</t>
  </si>
  <si>
    <t>T-068</t>
  </si>
  <si>
    <t>Modifica gioco privato</t>
  </si>
  <si>
    <t>Dettaglio &gt; Modifica</t>
  </si>
  <si>
    <t>Dati aggiornati</t>
  </si>
  <si>
    <t>T-069</t>
  </si>
  <si>
    <t>Elimina gioco privato</t>
  </si>
  <si>
    <t>Elimina &gt; Conferma</t>
  </si>
  <si>
    <t>Rimosso, redirect</t>
  </si>
  <si>
    <t>T-070</t>
  </si>
  <si>
    <t>Toolkit</t>
  </si>
  <si>
    <t>Toolkit gioco privato</t>
  </si>
  <si>
    <t>/library/private/[id]/toolkit</t>
  </si>
  <si>
    <t>Toolkit accessibile</t>
  </si>
  <si>
    <t>T-071</t>
  </si>
  <si>
    <t>Config toolkit</t>
  </si>
  <si>
    <t>/private/[id]/toolkit/configure</t>
  </si>
  <si>
    <t>Wizard config ok</t>
  </si>
  <si>
    <t>T-072</t>
  </si>
  <si>
    <t>Quota</t>
  </si>
  <si>
    <t>Limite Free (3 giochi)</t>
  </si>
  <si>
    <t>Aggiungi 4o gioco Free</t>
  </si>
  <si>
    <t>Messaggio quota raggiunta</t>
  </si>
  <si>
    <t>T-073</t>
  </si>
  <si>
    <t>DISC</t>
  </si>
  <si>
    <t>Tab Catalogo</t>
  </si>
  <si>
    <t>/discover &gt; Catalogo</t>
  </si>
  <si>
    <t>Griglia giochi community</t>
  </si>
  <si>
    <t>T-074</t>
  </si>
  <si>
    <t>Tab My Proposals</t>
  </si>
  <si>
    <t>/discover &gt; My Proposals</t>
  </si>
  <si>
    <t>Proposte utente</t>
  </si>
  <si>
    <t>T-075</t>
  </si>
  <si>
    <t>Tab Community</t>
  </si>
  <si>
    <t>/discover &gt; Community</t>
  </si>
  <si>
    <t>Contributi community</t>
  </si>
  <si>
    <t>T-076</t>
  </si>
  <si>
    <t>Tab BGG Search</t>
  </si>
  <si>
    <t>/discover &gt; BGG Search</t>
  </si>
  <si>
    <t>Ricerca BGG integrata</t>
  </si>
  <si>
    <t>T-077</t>
  </si>
  <si>
    <t>Ricerca</t>
  </si>
  <si>
    <t>Ricerca catalogo</t>
  </si>
  <si>
    <t>Digita nella search</t>
  </si>
  <si>
    <t>Filtrati real-time</t>
  </si>
  <si>
    <t>T-078</t>
  </si>
  <si>
    <t>Filtri</t>
  </si>
  <si>
    <t>Filtro categoria</t>
  </si>
  <si>
    <t>Seleziona categoria</t>
  </si>
  <si>
    <t>Solo categoria</t>
  </si>
  <si>
    <t>T-079</t>
  </si>
  <si>
    <t>Filtro meccanica</t>
  </si>
  <si>
    <t>Seleziona meccanica</t>
  </si>
  <si>
    <t>Solo meccanica</t>
  </si>
  <si>
    <t>T-080</t>
  </si>
  <si>
    <t>Filtro giocatori</t>
  </si>
  <si>
    <t>Range giocatori</t>
  </si>
  <si>
    <t>Filtrati player count</t>
  </si>
  <si>
    <t>T-081</t>
  </si>
  <si>
    <t>Filtro durata</t>
  </si>
  <si>
    <t>Range durata</t>
  </si>
  <si>
    <t>Filtrati playtime</t>
  </si>
  <si>
    <t>T-082</t>
  </si>
  <si>
    <t>Ordinamento</t>
  </si>
  <si>
    <t>Cambia ordinamento</t>
  </si>
  <si>
    <t>Lista riordinata</t>
  </si>
  <si>
    <t>T-083</t>
  </si>
  <si>
    <t>Dettaglio gioco catalogo</t>
  </si>
  <si>
    <t>/discover/[id]</t>
  </si>
  <si>
    <t>FAQs, rules, sessions, strategies, reviews</t>
  </si>
  <si>
    <t>T-084</t>
  </si>
  <si>
    <t>FAQs gioco</t>
  </si>
  <si>
    <t>/games/[id]/faqs</t>
  </si>
  <si>
    <t>FAQ AI, upvote funzionante</t>
  </si>
  <si>
    <t>T-085</t>
  </si>
  <si>
    <t>RuleSpec viewer</t>
  </si>
  <si>
    <t>/games/[id]/rules</t>
  </si>
  <si>
    <t>Regole con versioning</t>
  </si>
  <si>
    <t>T-086</t>
  </si>
  <si>
    <t>Sessioni gioco</t>
  </si>
  <si>
    <t>/games/[id]/sessions</t>
  </si>
  <si>
    <t>Lista sessioni</t>
  </si>
  <si>
    <t>T-087</t>
  </si>
  <si>
    <t>Strategie gioco</t>
  </si>
  <si>
    <t>/games/[id]/strategies</t>
  </si>
  <si>
    <t>Paginate</t>
  </si>
  <si>
    <t>T-088</t>
  </si>
  <si>
    <t>Recensioni gioco</t>
  </si>
  <si>
    <t>/games/[id]/reviews</t>
  </si>
  <si>
    <t>Visibili, form creazione</t>
  </si>
  <si>
    <t>T-089</t>
  </si>
  <si>
    <t>Giochi simili</t>
  </si>
  <si>
    <t>Sezione Giochi simili</t>
  </si>
  <si>
    <t>Lista correlati</t>
  </si>
  <si>
    <t>T-090</t>
  </si>
  <si>
    <t>Quick questions</t>
  </si>
  <si>
    <t>Domande rapide</t>
  </si>
  <si>
    <t>AI generate</t>
  </si>
  <si>
    <t>T-091</t>
  </si>
  <si>
    <t>BGG</t>
  </si>
  <si>
    <t>Ricerca BGG</t>
  </si>
  <si>
    <t>/games/bgg-search &gt; Digita</t>
  </si>
  <si>
    <t>Risultati BGG</t>
  </si>
  <si>
    <t>T-092</t>
  </si>
  <si>
    <t>Proposta</t>
  </si>
  <si>
    <t>Proponi gioco catalogo</t>
  </si>
  <si>
    <t>/library/propose/steps</t>
  </si>
  <si>
    <t>Wizard, proposta inviata</t>
  </si>
  <si>
    <t>T-093</t>
  </si>
  <si>
    <t>Lista proposte</t>
  </si>
  <si>
    <t>/library/proposals</t>
  </si>
  <si>
    <t>Con stato</t>
  </si>
  <si>
    <t>T-094</t>
  </si>
  <si>
    <t>Card</t>
  </si>
  <si>
    <t>MeepleCard griglia</t>
  </si>
  <si>
    <t>Card catalogo</t>
  </si>
  <si>
    <t>Titolo, immagine, rating</t>
  </si>
  <si>
    <t>T-095</t>
  </si>
  <si>
    <t>Responsive</t>
  </si>
  <si>
    <t>Griglia responsiva</t>
  </si>
  <si>
    <t>Ruota portrait/landscape</t>
  </si>
  <si>
    <t>1/2/3 colonne</t>
  </si>
  <si>
    <t>T-096</t>
  </si>
  <si>
    <t>CHAT</t>
  </si>
  <si>
    <t>Thread</t>
  </si>
  <si>
    <t>Crea thread chat</t>
  </si>
  <si>
    <t>/chat/new &gt; Gioco + Agente</t>
  </si>
  <si>
    <t>Creato, redirect /chat/[id]</t>
  </si>
  <si>
    <t>T-097</t>
  </si>
  <si>
    <t>Messaggio</t>
  </si>
  <si>
    <t>Invio messaggio AI</t>
  </si>
  <si>
    <t>Digita &gt; Invio</t>
  </si>
  <si>
    <t>Risposta SSE streaming</t>
  </si>
  <si>
    <t>T-098</t>
  </si>
  <si>
    <t>SSE</t>
  </si>
  <si>
    <t>Streaming SSE</t>
  </si>
  <si>
    <t>Domanda complessa</t>
  </si>
  <si>
    <t>Testo progressivo</t>
  </si>
  <si>
    <t>T-099</t>
  </si>
  <si>
    <t>Citazioni risposta</t>
  </si>
  <si>
    <t>Domanda su regole</t>
  </si>
  <si>
    <t>Citazioni PDF cliccabili</t>
  </si>
  <si>
    <t>T-100</t>
  </si>
  <si>
    <t>Fallback</t>
  </si>
  <si>
    <t>Model downgrade banner</t>
  </si>
  <si>
    <t>Rate limit simulato</t>
  </si>
  <si>
    <t>Banner ambra downgrade</t>
  </si>
  <si>
    <t>T-101</t>
  </si>
  <si>
    <t>Feedback</t>
  </si>
  <si>
    <t>Thumbs up/down</t>
  </si>
  <si>
    <t>Tap pollice su risposta</t>
  </si>
  <si>
    <t>Feedback registrato</t>
  </si>
  <si>
    <t>T-102</t>
  </si>
  <si>
    <t>Lista thread</t>
  </si>
  <si>
    <t>/chat</t>
  </si>
  <si>
    <t>Ordinati per ultimo msg</t>
  </si>
  <si>
    <t>T-103</t>
  </si>
  <si>
    <t>Rinomina thread</t>
  </si>
  <si>
    <t>Menu &gt; Rinomina</t>
  </si>
  <si>
    <t>Titolo aggiornato</t>
  </si>
  <si>
    <t>T-104</t>
  </si>
  <si>
    <t>Chiudi thread</t>
  </si>
  <si>
    <t>Menu &gt; Chiudi</t>
  </si>
  <si>
    <t>Thread chiuso</t>
  </si>
  <si>
    <t>T-105</t>
  </si>
  <si>
    <t>Riapri thread</t>
  </si>
  <si>
    <t>Chiuso &gt; Riapri</t>
  </si>
  <si>
    <t>Riaperto</t>
  </si>
  <si>
    <t>T-106</t>
  </si>
  <si>
    <t>Elimina thread</t>
  </si>
  <si>
    <t>Menu &gt; Elimina &gt; Conferma</t>
  </si>
  <si>
    <t>Rimosso</t>
  </si>
  <si>
    <t>T-107</t>
  </si>
  <si>
    <t>Modifica messaggio</t>
  </si>
  <si>
    <t>Long-press &gt; Modifica</t>
  </si>
  <si>
    <t>Aggiornato</t>
  </si>
  <si>
    <t>T-108</t>
  </si>
  <si>
    <t>Elimina messaggio</t>
  </si>
  <si>
    <t>Long-press &gt; Elimina</t>
  </si>
  <si>
    <t>T-109</t>
  </si>
  <si>
    <t>Export</t>
  </si>
  <si>
    <t>Export PDF</t>
  </si>
  <si>
    <t>Menu &gt; Esporta &gt; PDF</t>
  </si>
  <si>
    <t>PDF scaricato</t>
  </si>
  <si>
    <t>T-110</t>
  </si>
  <si>
    <t>Export TXT</t>
  </si>
  <si>
    <t>Menu &gt; Esporta &gt; TXT</t>
  </si>
  <si>
    <t>TXT scaricato</t>
  </si>
  <si>
    <t>T-111</t>
  </si>
  <si>
    <t>Export Markdown</t>
  </si>
  <si>
    <t>Menu &gt; Esporta &gt; MD</t>
  </si>
  <si>
    <t>MD scaricato</t>
  </si>
  <si>
    <t>T-112</t>
  </si>
  <si>
    <t>Agenti</t>
  </si>
  <si>
    <t>Selettore agente</t>
  </si>
  <si>
    <t>/chat/agents</t>
  </si>
  <si>
    <t>Lista disponibili</t>
  </si>
  <si>
    <t>T-113</t>
  </si>
  <si>
    <t>Cambio agente thread</t>
  </si>
  <si>
    <t>Thread &gt; Cambia agente</t>
  </si>
  <si>
    <t>T-114</t>
  </si>
  <si>
    <t>Creazione agente</t>
  </si>
  <si>
    <t>/chat/agents/create</t>
  </si>
  <si>
    <t>Wizard completato</t>
  </si>
  <si>
    <t>T-115</t>
  </si>
  <si>
    <t>SplitView tablet</t>
  </si>
  <si>
    <t>Tablet landscape</t>
  </si>
  <si>
    <t>Split msg + info</t>
  </si>
  <si>
    <t>T-116</t>
  </si>
  <si>
    <t>Fullscreen mobile</t>
  </si>
  <si>
    <t>Phone portrait</t>
  </si>
  <si>
    <t>h-dvh fullscreen</t>
  </si>
  <si>
    <t>T-117</t>
  </si>
  <si>
    <t>Limite Free 20/day</t>
  </si>
  <si>
    <t>Supera 20 query Free</t>
  </si>
  <si>
    <t>Msg limite, upgrade</t>
  </si>
  <si>
    <t>T-118</t>
  </si>
  <si>
    <t>VOICE</t>
  </si>
  <si>
    <t>Input</t>
  </si>
  <si>
    <t>Voce italiano</t>
  </si>
  <si>
    <t>Microfono &gt; Parla IT</t>
  </si>
  <si>
    <t>Trascritto correttamente</t>
  </si>
  <si>
    <t>T-119</t>
  </si>
  <si>
    <t>Voce inglese</t>
  </si>
  <si>
    <t>Microfono &gt; Parla EN</t>
  </si>
  <si>
    <t>Auto-detect EN</t>
  </si>
  <si>
    <t>T-120</t>
  </si>
  <si>
    <t>Interim results</t>
  </si>
  <si>
    <t>Parla &gt; Osserva input</t>
  </si>
  <si>
    <t>Testo parziale live</t>
  </si>
  <si>
    <t>T-121</t>
  </si>
  <si>
    <t>Auto-send su silenzio</t>
  </si>
  <si>
    <t>Auto-send &gt; Parla &gt; 2s</t>
  </si>
  <si>
    <t>Inviato auto</t>
  </si>
  <si>
    <t>T-122</t>
  </si>
  <si>
    <t>Permesso mic negato</t>
  </si>
  <si>
    <t>Nega permesso &gt; Tap</t>
  </si>
  <si>
    <t>Errore permission chiaro</t>
  </si>
  <si>
    <t>T-123</t>
  </si>
  <si>
    <t>Browser non supportato</t>
  </si>
  <si>
    <t>Senza Web Speech API</t>
  </si>
  <si>
    <t>Msg not_supported</t>
  </si>
  <si>
    <t>T-124</t>
  </si>
  <si>
    <t>TTS</t>
  </si>
  <si>
    <t>TTS risposta AI</t>
  </si>
  <si>
    <t>Abilita TTS &gt; Risposta</t>
  </si>
  <si>
    <t>Letta dal device</t>
  </si>
  <si>
    <t>T-125</t>
  </si>
  <si>
    <t>Config voce/velocita</t>
  </si>
  <si>
    <t>Cambia voce/rate</t>
  </si>
  <si>
    <t>Aggiornate</t>
  </si>
  <si>
    <t>T-126</t>
  </si>
  <si>
    <t>AGENT</t>
  </si>
  <si>
    <t>Lista agenti</t>
  </si>
  <si>
    <t>/agents</t>
  </si>
  <si>
    <t>Lista con info</t>
  </si>
  <si>
    <t>T-127</t>
  </si>
  <si>
    <t>Dettaglio agente</t>
  </si>
  <si>
    <t>/agents/[id]</t>
  </si>
  <si>
    <t>Modello, provider, params</t>
  </si>
  <si>
    <t>T-128</t>
  </si>
  <si>
    <t>Config</t>
  </si>
  <si>
    <t>Modifica config</t>
  </si>
  <si>
    <t>Config salvata</t>
  </si>
  <si>
    <t>T-129</t>
  </si>
  <si>
    <t>Slot</t>
  </si>
  <si>
    <t>Slot agenti</t>
  </si>
  <si>
    <t>/agent/slots</t>
  </si>
  <si>
    <t>Allocati tier-gated</t>
  </si>
  <si>
    <t>T-130</t>
  </si>
  <si>
    <t>Limite Free (1)</t>
  </si>
  <si>
    <t>Crea 2o agente Free</t>
  </si>
  <si>
    <t>Msg limite</t>
  </si>
  <si>
    <t>T-131</t>
  </si>
  <si>
    <t>Ask</t>
  </si>
  <si>
    <t>Quick AI ask</t>
  </si>
  <si>
    <t>/ask &gt; Domanda</t>
  </si>
  <si>
    <t>Risposta rapida</t>
  </si>
  <si>
    <t>T-132</t>
  </si>
  <si>
    <t>Recenti</t>
  </si>
  <si>
    <t>Agenti recenti</t>
  </si>
  <si>
    <t>Sezione recenti</t>
  </si>
  <si>
    <t>Usati di recente</t>
  </si>
  <si>
    <t>T-133</t>
  </si>
  <si>
    <t>Tipologie</t>
  </si>
  <si>
    <t>Tipologie approvate</t>
  </si>
  <si>
    <t>Tipologie disponibili</t>
  </si>
  <si>
    <t>Solo Approved</t>
  </si>
  <si>
    <t>T-134</t>
  </si>
  <si>
    <t>Modelli</t>
  </si>
  <si>
    <t>Modelli per tier</t>
  </si>
  <si>
    <t>Modelli disponibili</t>
  </si>
  <si>
    <t>Cloud &gt; Ollama, tier</t>
  </si>
  <si>
    <t>T-135</t>
  </si>
  <si>
    <t>SESS</t>
  </si>
  <si>
    <t>Crea</t>
  </si>
  <si>
    <t>Crea sessione</t>
  </si>
  <si>
    <t>/sessions/new &gt; Gioco/giocatori</t>
  </si>
  <si>
    <t>Creata, redirect</t>
  </si>
  <si>
    <t>T-136</t>
  </si>
  <si>
    <t>/sessions</t>
  </si>
  <si>
    <t>Storico filtri/ricerca</t>
  </si>
  <si>
    <t>T-137</t>
  </si>
  <si>
    <t>Dettaglio sessione</t>
  </si>
  <si>
    <t>/sessions/[id]</t>
  </si>
  <si>
    <t>Info, giocatori, punteggi</t>
  </si>
  <si>
    <t>T-138</t>
  </si>
  <si>
    <t>Live</t>
  </si>
  <si>
    <t>Sessione live</t>
  </si>
  <si>
    <t>/sessions/[id]/play</t>
  </si>
  <si>
    <t>Punteggi real-time</t>
  </si>
  <si>
    <t>T-139</t>
  </si>
  <si>
    <t>ScoreInput sticky</t>
  </si>
  <si>
    <t>Input basso sessione live</t>
  </si>
  <si>
    <t>Sticky visibile funzionante</t>
  </si>
  <si>
    <t>T-140</t>
  </si>
  <si>
    <t>Sync punteggi SSE</t>
  </si>
  <si>
    <t>2 device stessa sessione</t>
  </si>
  <si>
    <t>Visibile su entrambi</t>
  </si>
  <si>
    <t>T-141</t>
  </si>
  <si>
    <t>Controlli</t>
  </si>
  <si>
    <t>Pausa sessione</t>
  </si>
  <si>
    <t>Live &gt; Pausa</t>
  </si>
  <si>
    <t>Timer fermato</t>
  </si>
  <si>
    <t>T-142</t>
  </si>
  <si>
    <t>Riprendi sessione</t>
  </si>
  <si>
    <t>Pausa &gt; Riprendi</t>
  </si>
  <si>
    <t>Timer ripartito</t>
  </si>
  <si>
    <t>T-143</t>
  </si>
  <si>
    <t>Finalizza sessione</t>
  </si>
  <si>
    <t>Finalizza</t>
  </si>
  <si>
    <t>Classifica, redirect</t>
  </si>
  <si>
    <t>T-144</t>
  </si>
  <si>
    <t>Classifica</t>
  </si>
  <si>
    <t>Scoreboard</t>
  </si>
  <si>
    <t>/sessions/[id]/scoreboard</t>
  </si>
  <si>
    <t>Ordinata per punteggio</t>
  </si>
  <si>
    <t>T-145</t>
  </si>
  <si>
    <t>Players</t>
  </si>
  <si>
    <t>Gestione partecipanti</t>
  </si>
  <si>
    <t>/sessions/[id]/players</t>
  </si>
  <si>
    <t>Aggiungi/rimuovi</t>
  </si>
  <si>
    <t>T-146</t>
  </si>
  <si>
    <t>Note sessione</t>
  </si>
  <si>
    <t>/sessions/[id]/notes</t>
  </si>
  <si>
    <t>Ufficiali + localStorage</t>
  </si>
  <si>
    <t>T-147</t>
  </si>
  <si>
    <t>Invito</t>
  </si>
  <si>
    <t>Join via codice</t>
  </si>
  <si>
    <t>/sessions/join &gt; Codice</t>
  </si>
  <si>
    <t>Join tramite codice</t>
  </si>
  <si>
    <t>T-148</t>
  </si>
  <si>
    <t>TOOL</t>
  </si>
  <si>
    <t>Landing</t>
  </si>
  <si>
    <t>Toolkit landing</t>
  </si>
  <si>
    <t>/toolkit</t>
  </si>
  <si>
    <t>Landing tools disponibili</t>
  </si>
  <si>
    <t>T-149</t>
  </si>
  <si>
    <t>Dadi</t>
  </si>
  <si>
    <t>Lancio dadi</t>
  </si>
  <si>
    <t>Tool dadi &gt; Lancia</t>
  </si>
  <si>
    <t>Animazione, random</t>
  </si>
  <si>
    <t>T-150</t>
  </si>
  <si>
    <t>Carte</t>
  </si>
  <si>
    <t>Pesca carta</t>
  </si>
  <si>
    <t>Tool carte &gt; Pesca</t>
  </si>
  <si>
    <t>Carta estratta</t>
  </si>
  <si>
    <t>T-151</t>
  </si>
  <si>
    <t>Mescola mazzo</t>
  </si>
  <si>
    <t>Tool carte &gt; Mescola</t>
  </si>
  <si>
    <t>Rimescolato</t>
  </si>
  <si>
    <t>T-152</t>
  </si>
  <si>
    <t>Timer</t>
  </si>
  <si>
    <t>Timer completo</t>
  </si>
  <si>
    <t>Start/pause/resume/reset</t>
  </si>
  <si>
    <t>Ogni azione ok</t>
  </si>
  <si>
    <t>T-153</t>
  </si>
  <si>
    <t>Moneta</t>
  </si>
  <si>
    <t>Lancio moneta</t>
  </si>
  <si>
    <t>Tool moneta &gt; Lancia</t>
  </si>
  <si>
    <t>Testa/croce animazione</t>
  </si>
  <si>
    <t>T-154</t>
  </si>
  <si>
    <t>Ruota</t>
  </si>
  <si>
    <t>Giro ruota</t>
  </si>
  <si>
    <t>Tool ruota &gt; Gira</t>
  </si>
  <si>
    <t>Risultato selezionato</t>
  </si>
  <si>
    <t>T-155</t>
  </si>
  <si>
    <t>Punteggio</t>
  </si>
  <si>
    <t>Input punteggio</t>
  </si>
  <si>
    <t>Tool score &gt; Inserisci</t>
  </si>
  <si>
    <t>Registrati</t>
  </si>
  <si>
    <t>T-156</t>
  </si>
  <si>
    <t>Note SSE sync</t>
  </si>
  <si>
    <t>Tool note &gt; Scrivi</t>
  </si>
  <si>
    <t>Sincronizzata SSE</t>
  </si>
  <si>
    <t>T-157</t>
  </si>
  <si>
    <t>URL</t>
  </si>
  <si>
    <t>Tool persistente in URL</t>
  </si>
  <si>
    <t>Cambia tool &gt; URL</t>
  </si>
  <si>
    <t>?tool= aggiornato</t>
  </si>
  <si>
    <t>T-158</t>
  </si>
  <si>
    <t>History</t>
  </si>
  <si>
    <t>Storico toolkit</t>
  </si>
  <si>
    <t>/toolkit/history</t>
  </si>
  <si>
    <t>Sessioni passate</t>
  </si>
  <si>
    <t>T-159</t>
  </si>
  <si>
    <t>Stats toolkit</t>
  </si>
  <si>
    <t>/toolkit/stats</t>
  </si>
  <si>
    <t>Stats utilizzo</t>
  </si>
  <si>
    <t>T-160</t>
  </si>
  <si>
    <t>Templates</t>
  </si>
  <si>
    <t>Template toolkit</t>
  </si>
  <si>
    <t>/toolkit/templates</t>
  </si>
  <si>
    <t>Pre-costruiti</t>
  </si>
  <si>
    <t>T-161</t>
  </si>
  <si>
    <t>Game</t>
  </si>
  <si>
    <t>Toolkit per gioco</t>
  </si>
  <si>
    <t>/library/games/[id]/toolkit/[s]</t>
  </si>
  <si>
    <t>Contestuale gioco</t>
  </si>
  <si>
    <t>T-162</t>
  </si>
  <si>
    <t>GN</t>
  </si>
  <si>
    <t>Lista game nights</t>
  </si>
  <si>
    <t>/game-nights</t>
  </si>
  <si>
    <t>Tab upcoming/organized</t>
  </si>
  <si>
    <t>T-163</t>
  </si>
  <si>
    <t>Crea game night</t>
  </si>
  <si>
    <t>/game-nights/new multi-step</t>
  </si>
  <si>
    <t>Serata creata</t>
  </si>
  <si>
    <t>T-164</t>
  </si>
  <si>
    <t>Dettaglio game night</t>
  </si>
  <si>
    <t>/game-nights/[id]</t>
  </si>
  <si>
    <t>Info completa</t>
  </si>
  <si>
    <t>T-165</t>
  </si>
  <si>
    <t>Modifica</t>
  </si>
  <si>
    <t>Modifica game night</t>
  </si>
  <si>
    <t>/game-nights/[id]/edit</t>
  </si>
  <si>
    <t>Aggiornata</t>
  </si>
  <si>
    <t>T-166</t>
  </si>
  <si>
    <t>PLAY</t>
  </si>
  <si>
    <t>Lista play records</t>
  </si>
  <si>
    <t>/play-records con filtri</t>
  </si>
  <si>
    <t>Storico partite</t>
  </si>
  <si>
    <t>T-167</t>
  </si>
  <si>
    <t>Nuovo</t>
  </si>
  <si>
    <t>Registra partita</t>
  </si>
  <si>
    <t>/play-records/new &gt; Form</t>
  </si>
  <si>
    <t>Registrata</t>
  </si>
  <si>
    <t>T-168</t>
  </si>
  <si>
    <t>Dettaglio play record</t>
  </si>
  <si>
    <t>/play-records/[id]</t>
  </si>
  <si>
    <t>Dati completi</t>
  </si>
  <si>
    <t>T-169</t>
  </si>
  <si>
    <t>Modifica play record</t>
  </si>
  <si>
    <t>/play-records/[id]/edit</t>
  </si>
  <si>
    <t>T-170</t>
  </si>
  <si>
    <t>Elimina</t>
  </si>
  <si>
    <t>Elimina play record</t>
  </si>
  <si>
    <t>T-171</t>
  </si>
  <si>
    <t>Statistiche partite</t>
  </si>
  <si>
    <t>/play-records/stats</t>
  </si>
  <si>
    <t>Stats aggregate</t>
  </si>
  <si>
    <t>T-172</t>
  </si>
  <si>
    <t>PLAYER</t>
  </si>
  <si>
    <t>Lista giocatori</t>
  </si>
  <si>
    <t>/players</t>
  </si>
  <si>
    <t>Con ricerca</t>
  </si>
  <si>
    <t>T-173</t>
  </si>
  <si>
    <t>Profilo</t>
  </si>
  <si>
    <t>Profilo giocatore</t>
  </si>
  <si>
    <t>/players/[id]</t>
  </si>
  <si>
    <t>Info e stats</t>
  </si>
  <si>
    <t>T-174</t>
  </si>
  <si>
    <t>Achievement</t>
  </si>
  <si>
    <t>Achievement giocatore</t>
  </si>
  <si>
    <t>/players/[id]/achievements</t>
  </si>
  <si>
    <t>T-175</t>
  </si>
  <si>
    <t>Giochi</t>
  </si>
  <si>
    <t>Giochi giocatore</t>
  </si>
  <si>
    <t>/players/[id]/games</t>
  </si>
  <si>
    <t>Storico</t>
  </si>
  <si>
    <t>T-176</t>
  </si>
  <si>
    <t>Sessioni</t>
  </si>
  <si>
    <t>Sessioni giocatore</t>
  </si>
  <si>
    <t>/players/[id]/sessions</t>
  </si>
  <si>
    <t>T-177</t>
  </si>
  <si>
    <t>Statistiche giocatore</t>
  </si>
  <si>
    <t>/players/[id]/stats</t>
  </si>
  <si>
    <t>Dettagliate</t>
  </si>
  <si>
    <t>T-178</t>
  </si>
  <si>
    <t>PLIST</t>
  </si>
  <si>
    <t>Lista playlist</t>
  </si>
  <si>
    <t>/library/playlists</t>
  </si>
  <si>
    <t>Playlist utente</t>
  </si>
  <si>
    <t>T-179</t>
  </si>
  <si>
    <t>Crea playlist</t>
  </si>
  <si>
    <t>Nuova &gt; Titolo + Giochi</t>
  </si>
  <si>
    <t>Creata</t>
  </si>
  <si>
    <t>T-180</t>
  </si>
  <si>
    <t>Dettaglio playlist</t>
  </si>
  <si>
    <t>/library/playlists/[id]</t>
  </si>
  <si>
    <t>Con giochi</t>
  </si>
  <si>
    <t>T-181</t>
  </si>
  <si>
    <t>Modifica playlist</t>
  </si>
  <si>
    <t>Aggiungi/Rimuovi giochi</t>
  </si>
  <si>
    <t>T-182</t>
  </si>
  <si>
    <t>Elimina playlist</t>
  </si>
  <si>
    <t>Rimossa</t>
  </si>
  <si>
    <t>T-183</t>
  </si>
  <si>
    <t>Condividi</t>
  </si>
  <si>
    <t>Condividi playlist</t>
  </si>
  <si>
    <t>Genera link</t>
  </si>
  <si>
    <t>Token generato</t>
  </si>
  <si>
    <t>T-184</t>
  </si>
  <si>
    <t>Shared</t>
  </si>
  <si>
    <t>Accesso condivisa</t>
  </si>
  <si>
    <t>Link da altro device</t>
  </si>
  <si>
    <t>Senza login</t>
  </si>
  <si>
    <t>T-185</t>
  </si>
  <si>
    <t>NOTIF</t>
  </si>
  <si>
    <t>Badge</t>
  </si>
  <si>
    <t>Campanella navbar</t>
  </si>
  <si>
    <t>Conteggio non lette</t>
  </si>
  <si>
    <t>T-186</t>
  </si>
  <si>
    <t>Panel</t>
  </si>
  <si>
    <t>Pannello slide-in</t>
  </si>
  <si>
    <t>Tap campanella</t>
  </si>
  <si>
    <t>Slide-in recenti</t>
  </si>
  <si>
    <t>T-187</t>
  </si>
  <si>
    <t>Pagina</t>
  </si>
  <si>
    <t>Pagina notifiche</t>
  </si>
  <si>
    <t>/notifications</t>
  </si>
  <si>
    <t>Tabs/filtri/paginazione</t>
  </si>
  <si>
    <t>T-188</t>
  </si>
  <si>
    <t>Tipo</t>
  </si>
  <si>
    <t>PDF completato</t>
  </si>
  <si>
    <t>Upload PDF &gt; Attendi</t>
  </si>
  <si>
    <t>Notifica completed</t>
  </si>
  <si>
    <t>T-189</t>
  </si>
  <si>
    <t>RuleSpec generato</t>
  </si>
  <si>
    <t>Genera &gt; Attendi</t>
  </si>
  <si>
    <t>Notifica ready</t>
  </si>
  <si>
    <t>T-190</t>
  </si>
  <si>
    <t>Processing failed</t>
  </si>
  <si>
    <t>PDF corrotto</t>
  </si>
  <si>
    <t>Notifica errore</t>
  </si>
  <si>
    <t>T-191</t>
  </si>
  <si>
    <t>KB ready</t>
  </si>
  <si>
    <t>Dopo indexing</t>
  </si>
  <si>
    <t>Notifica KB</t>
  </si>
  <si>
    <t>T-192</t>
  </si>
  <si>
    <t>Nuovo commento</t>
  </si>
  <si>
    <t>Altro utente commenta</t>
  </si>
  <si>
    <t>Notifica commento</t>
  </si>
  <si>
    <t>T-193</t>
  </si>
  <si>
    <t>Shared link accessed</t>
  </si>
  <si>
    <t>Accesso link condiviso</t>
  </si>
  <si>
    <t>Notifica accesso</t>
  </si>
  <si>
    <t>T-194</t>
  </si>
  <si>
    <t>Azioni</t>
  </si>
  <si>
    <t>Segna come letta</t>
  </si>
  <si>
    <t>Tap non letta</t>
  </si>
  <si>
    <t>Letta, badge -1</t>
  </si>
  <si>
    <t>T-195</t>
  </si>
  <si>
    <t>Segna tutte lette</t>
  </si>
  <si>
    <t>Segna tutte</t>
  </si>
  <si>
    <t>Badge zero</t>
  </si>
  <si>
    <t>T-196</t>
  </si>
  <si>
    <t>Filtro per tipo</t>
  </si>
  <si>
    <t>Seleziona tipo</t>
  </si>
  <si>
    <t>Solo tipo</t>
  </si>
  <si>
    <t>T-197</t>
  </si>
  <si>
    <t>Paginazione</t>
  </si>
  <si>
    <t>Paginazione 20/page</t>
  </si>
  <si>
    <t>Oltre 20 &gt; Carica</t>
  </si>
  <si>
    <t>Pag successiva</t>
  </si>
  <si>
    <t>T-198</t>
  </si>
  <si>
    <t>PROF</t>
  </si>
  <si>
    <t>Overview</t>
  </si>
  <si>
    <t>Profilo overview</t>
  </si>
  <si>
    <t>/profile &gt; Overview</t>
  </si>
  <si>
    <t>Stats, links</t>
  </si>
  <si>
    <t>T-199</t>
  </si>
  <si>
    <t>Profilo achievements</t>
  </si>
  <si>
    <t>/profile &gt; Achievements</t>
  </si>
  <si>
    <t>Gallery</t>
  </si>
  <si>
    <t>T-200</t>
  </si>
  <si>
    <t>Activity</t>
  </si>
  <si>
    <t>Profilo activity</t>
  </si>
  <si>
    <t>/profile &gt; Activity</t>
  </si>
  <si>
    <t>Coming soon/attivita</t>
  </si>
  <si>
    <t>T-201</t>
  </si>
  <si>
    <t>Notifiche</t>
  </si>
  <si>
    <t>Impostazioni notifiche</t>
  </si>
  <si>
    <t>/settings/notifications</t>
  </si>
  <si>
    <t>Modificabili</t>
  </si>
  <si>
    <t>T-202</t>
  </si>
  <si>
    <t>Sicurezza</t>
  </si>
  <si>
    <t>Impostazioni sicurezza</t>
  </si>
  <si>
    <t>/settings/security</t>
  </si>
  <si>
    <t>Password, sessioni</t>
  </si>
  <si>
    <t>T-203</t>
  </si>
  <si>
    <t>AI Consent</t>
  </si>
  <si>
    <t>Consenso AI</t>
  </si>
  <si>
    <t>/settings/ai-consent</t>
  </si>
  <si>
    <t>Gestione consenso</t>
  </si>
  <si>
    <t>T-204</t>
  </si>
  <si>
    <t>Setup</t>
  </si>
  <si>
    <t>Setup iniziale</t>
  </si>
  <si>
    <t>/setup primo accesso</t>
  </si>
  <si>
    <t>Completabile</t>
  </si>
  <si>
    <t>T-205</t>
  </si>
  <si>
    <t>GAMIF</t>
  </si>
  <si>
    <t>Badge guadagnati</t>
  </si>
  <si>
    <t>/badges</t>
  </si>
  <si>
    <t>Earned visibili, locked hidden</t>
  </si>
  <si>
    <t>T-206</t>
  </si>
  <si>
    <t>Leaderboard</t>
  </si>
  <si>
    <t>/badges &gt; Leaderboard</t>
  </si>
  <si>
    <t>Classifica utenti</t>
  </si>
  <si>
    <t>T-207</t>
  </si>
  <si>
    <t>Achievement gallery</t>
  </si>
  <si>
    <t>/profile/achievements</t>
  </si>
  <si>
    <t>Tutti earned/locked</t>
  </si>
  <si>
    <t>T-208</t>
  </si>
  <si>
    <t>TIER</t>
  </si>
  <si>
    <t>Pricing</t>
  </si>
  <si>
    <t>Pagina pricing</t>
  </si>
  <si>
    <t>/pricing</t>
  </si>
  <si>
    <t>Free vs Premium 4.99/mo</t>
  </si>
  <si>
    <t>T-209</t>
  </si>
  <si>
    <t>Limiti</t>
  </si>
  <si>
    <t>Limiti Free visibili</t>
  </si>
  <si>
    <t>Profilo &gt; Limiti</t>
  </si>
  <si>
    <t>3 priv, 2 PDF/mo, 1 agent, 20 q/day</t>
  </si>
  <si>
    <t>T-210</t>
  </si>
  <si>
    <t>Rate</t>
  </si>
  <si>
    <t>Rate limits</t>
  </si>
  <si>
    <t>/user/rate-limits</t>
  </si>
  <si>
    <t>Correnti visibili</t>
  </si>
  <si>
    <t>T-211</t>
  </si>
  <si>
    <t>Upload</t>
  </si>
  <si>
    <t>Upload drag-and-drop</t>
  </si>
  <si>
    <t>/upload &gt; Drag PDF</t>
  </si>
  <si>
    <t>Caricato con progress</t>
  </si>
  <si>
    <t>T-212</t>
  </si>
  <si>
    <t>Upload click select</t>
  </si>
  <si>
    <t>/upload &gt; Click &gt; File</t>
  </si>
  <si>
    <t>Caricato</t>
  </si>
  <si>
    <t>T-213</t>
  </si>
  <si>
    <t>Progress</t>
  </si>
  <si>
    <t>Progress bar</t>
  </si>
  <si>
    <t>PDF grande &gt; Osserva</t>
  </si>
  <si>
    <t>Barra accurata</t>
  </si>
  <si>
    <t>T-214</t>
  </si>
  <si>
    <t>Status</t>
  </si>
  <si>
    <t>Polling stato</t>
  </si>
  <si>
    <t>Dopo upload</t>
  </si>
  <si>
    <t>Pipeline stati corretti</t>
  </si>
  <si>
    <t>T-215</t>
  </si>
  <si>
    <t>Visibility</t>
  </si>
  <si>
    <t>Visibilita PDF</t>
  </si>
  <si>
    <t>Public/Private</t>
  </si>
  <si>
    <t>Impostata</t>
  </si>
  <si>
    <t>T-216</t>
  </si>
  <si>
    <t>Errore</t>
  </si>
  <si>
    <t>Upload non-PDF</t>
  </si>
  <si>
    <t>File .jpg/.doc</t>
  </si>
  <si>
    <t>Errore validazione</t>
  </si>
  <si>
    <t>T-217</t>
  </si>
  <si>
    <t>Gate</t>
  </si>
  <si>
    <t>Gate Admin/Editor</t>
  </si>
  <si>
    <t>Utente normale &gt; /upload</t>
  </si>
  <si>
    <t>403 o redirect</t>
  </si>
  <si>
    <t>T-218</t>
  </si>
  <si>
    <t>Viewer</t>
  </si>
  <si>
    <t>PDF viewer mobile</t>
  </si>
  <si>
    <t>Apri PDF viewer</t>
  </si>
  <si>
    <t>Leggibile mobile</t>
  </si>
  <si>
    <t>T-219</t>
  </si>
  <si>
    <t>KB</t>
  </si>
  <si>
    <t>Redirect</t>
  </si>
  <si>
    <t>KB redirect library</t>
  </si>
  <si>
    <t>/knowledge-base</t>
  </si>
  <si>
    <t>Redirect /library</t>
  </si>
  <si>
    <t>T-220</t>
  </si>
  <si>
    <t>KB gioco specifico</t>
  </si>
  <si>
    <t>/knowledge-base/[id]</t>
  </si>
  <si>
    <t>Dettaglio KB</t>
  </si>
  <si>
    <t>T-221</t>
  </si>
  <si>
    <t>Commenti</t>
  </si>
  <si>
    <t>Commento RuleSpec</t>
  </si>
  <si>
    <t>Aggiungi commento</t>
  </si>
  <si>
    <t>Salvato visibile</t>
  </si>
  <si>
    <t>T-222</t>
  </si>
  <si>
    <t>Reply commento</t>
  </si>
  <si>
    <t>Rispondi</t>
  </si>
  <si>
    <t>Sotto originale</t>
  </si>
  <si>
    <t>T-223</t>
  </si>
  <si>
    <t>Risolvi commento</t>
  </si>
  <si>
    <t>Risolvi</t>
  </si>
  <si>
    <t>Marcato risolto</t>
  </si>
  <si>
    <t>T-224</t>
  </si>
  <si>
    <t>Versioning</t>
  </si>
  <si>
    <t>Versioning RuleSpec</t>
  </si>
  <si>
    <t>Storico versioni</t>
  </si>
  <si>
    <t>Timeline</t>
  </si>
  <si>
    <t>T-225</t>
  </si>
  <si>
    <t>Diff tra versioni</t>
  </si>
  <si>
    <t>Diff</t>
  </si>
  <si>
    <t>Differenze visualizzate</t>
  </si>
  <si>
    <t>T-226</t>
  </si>
  <si>
    <t>EDITOR</t>
  </si>
  <si>
    <t>Dashboard</t>
  </si>
  <si>
    <t>Editor dashboard</t>
  </si>
  <si>
    <t>/editor/dashboard</t>
  </si>
  <si>
    <t>Stats e azioni</t>
  </si>
  <si>
    <t>T-227</t>
  </si>
  <si>
    <t>Proposals</t>
  </si>
  <si>
    <t>Lista proposals</t>
  </si>
  <si>
    <t>/editor/agent-proposals</t>
  </si>
  <si>
    <t>T-228</t>
  </si>
  <si>
    <t>Crea proposal</t>
  </si>
  <si>
    <t>/editor/agent-proposals/create</t>
  </si>
  <si>
    <t>Form completato</t>
  </si>
  <si>
    <t>T-229</t>
  </si>
  <si>
    <t>Dettaglio proposal</t>
  </si>
  <si>
    <t>/editor/agent-proposals/[id]</t>
  </si>
  <si>
    <t>Stato approvazione</t>
  </si>
  <si>
    <t>T-230</t>
  </si>
  <si>
    <t>Modifica proposal</t>
  </si>
  <si>
    <t>/editor/agent-proposals/[id]/edit</t>
  </si>
  <si>
    <t>T-231</t>
  </si>
  <si>
    <t>Test proposal</t>
  </si>
  <si>
    <t>/editor/agent-proposals/[id]/test</t>
  </si>
  <si>
    <t>Test funzionante</t>
  </si>
  <si>
    <t>T-232</t>
  </si>
  <si>
    <t>PWA</t>
  </si>
  <si>
    <t>Offline</t>
  </si>
  <si>
    <t>Pagina offline</t>
  </si>
  <si>
    <t>Disconnetti &gt; Naviga</t>
  </si>
  <si>
    <t>/offline mostrata</t>
  </si>
  <si>
    <t>T-233</t>
  </si>
  <si>
    <t>IndexedDB</t>
  </si>
  <si>
    <t>Azioni offline in coda</t>
  </si>
  <si>
    <t>Offline &gt; Toolkit</t>
  </si>
  <si>
    <t>Salvate IndexedDB</t>
  </si>
  <si>
    <t>T-234</t>
  </si>
  <si>
    <t>Sync</t>
  </si>
  <si>
    <t>Sync ritorno online</t>
  </si>
  <si>
    <t>Riconnetti</t>
  </si>
  <si>
    <t>Sincronizzate SyncManager</t>
  </si>
  <si>
    <t>T-235</t>
  </si>
  <si>
    <t>Cache</t>
  </si>
  <si>
    <t>Cache giochi offline</t>
  </si>
  <si>
    <t>Catalogo &gt; Offline</t>
  </si>
  <si>
    <t>Cachati disponibili</t>
  </si>
  <si>
    <t>T-236</t>
  </si>
  <si>
    <t>PUB</t>
  </si>
  <si>
    <t>Landing page</t>
  </si>
  <si>
    <t>/ (root)</t>
  </si>
  <si>
    <t>Caricata mobile</t>
  </si>
  <si>
    <t>T-237</t>
  </si>
  <si>
    <t>About</t>
  </si>
  <si>
    <t>/about</t>
  </si>
  <si>
    <t>Visibile</t>
  </si>
  <si>
    <t>T-238</t>
  </si>
  <si>
    <t>How</t>
  </si>
  <si>
    <t>Come funziona</t>
  </si>
  <si>
    <t>/how-it-works</t>
  </si>
  <si>
    <t>T-239</t>
  </si>
  <si>
    <t>Blog</t>
  </si>
  <si>
    <t>/blog</t>
  </si>
  <si>
    <t>Articoli</t>
  </si>
  <si>
    <t>T-240</t>
  </si>
  <si>
    <t>FAQ</t>
  </si>
  <si>
    <t>/faq</t>
  </si>
  <si>
    <t>Domande</t>
  </si>
  <si>
    <t>T-241</t>
  </si>
  <si>
    <t>Contact</t>
  </si>
  <si>
    <t>Contatti</t>
  </si>
  <si>
    <t>/contact</t>
  </si>
  <si>
    <t>Form funzionante</t>
  </si>
  <si>
    <t>T-242</t>
  </si>
  <si>
    <t>/gallery</t>
  </si>
  <si>
    <t>T-243</t>
  </si>
  <si>
    <t>Games</t>
  </si>
  <si>
    <t>Catalogo pubblico</t>
  </si>
  <si>
    <t>/games</t>
  </si>
  <si>
    <t>T-244</t>
  </si>
  <si>
    <t>Dettaglio gioco pubblico</t>
  </si>
  <si>
    <t>/games/[id]</t>
  </si>
  <si>
    <t>T-245</t>
  </si>
  <si>
    <t>Catalogo con filtri</t>
  </si>
  <si>
    <t>/games/catalog</t>
  </si>
  <si>
    <t>Filtri funzionanti</t>
  </si>
  <si>
    <t>T-246</t>
  </si>
  <si>
    <t>SEO</t>
  </si>
  <si>
    <t>Pagine italiano SEO</t>
  </si>
  <si>
    <t>/giochi/[id]</t>
  </si>
  <si>
    <t>Pagine IT caricate</t>
  </si>
  <si>
    <t>T-247</t>
  </si>
  <si>
    <t>Gioco condiviso</t>
  </si>
  <si>
    <t>/shared-games/[id]</t>
  </si>
  <si>
    <t>T-248</t>
  </si>
  <si>
    <t>AI</t>
  </si>
  <si>
    <t>AI landing</t>
  </si>
  <si>
    <t>/board-game-ai</t>
  </si>
  <si>
    <t>T-249</t>
  </si>
  <si>
    <t>AI game browser</t>
  </si>
  <si>
    <t>/board-game-ai/games</t>
  </si>
  <si>
    <t>Assistito</t>
  </si>
  <si>
    <t>T-250</t>
  </si>
  <si>
    <t>Contrib</t>
  </si>
  <si>
    <t>/contributions</t>
  </si>
  <si>
    <t>T-251</t>
  </si>
  <si>
    <t>Legal</t>
  </si>
  <si>
    <t>Privacy policy</t>
  </si>
  <si>
    <t>/privacy</t>
  </si>
  <si>
    <t>T-252</t>
  </si>
  <si>
    <t>Termini servizio</t>
  </si>
  <si>
    <t>/terms</t>
  </si>
  <si>
    <t>Leggibili</t>
  </si>
  <si>
    <t>T-253</t>
  </si>
  <si>
    <t>Cookie policy</t>
  </si>
  <si>
    <t>/cookies</t>
  </si>
  <si>
    <t>T-254</t>
  </si>
  <si>
    <t>PERF</t>
  </si>
  <si>
    <t>Load</t>
  </si>
  <si>
    <t>Tempo caricamento</t>
  </si>
  <si>
    <t>Cold start app</t>
  </si>
  <si>
    <t>&lt;3s su 4G</t>
  </si>
  <si>
    <t>T-255</t>
  </si>
  <si>
    <t>Nav</t>
  </si>
  <si>
    <t>Navigazione pagine</t>
  </si>
  <si>
    <t>5 pagine diverse</t>
  </si>
  <si>
    <t>Fluida, no flash</t>
  </si>
  <si>
    <t>T-256</t>
  </si>
  <si>
    <t>Scroll</t>
  </si>
  <si>
    <t>Scroll lista lunga</t>
  </si>
  <si>
    <t>50+ items scroll veloce</t>
  </si>
  <si>
    <t>60fps no jank</t>
  </si>
  <si>
    <t>T-257</t>
  </si>
  <si>
    <t>Images</t>
  </si>
  <si>
    <t>Lazy loading immagini</t>
  </si>
  <si>
    <t>Scrolla catalogo</t>
  </si>
  <si>
    <t>On-demand placeholder</t>
  </si>
  <si>
    <t>T-258</t>
  </si>
  <si>
    <t>Connessione SSE stabile</t>
  </si>
  <si>
    <t>Chat 5+ minuti</t>
  </si>
  <si>
    <t>No disconnessioni</t>
  </si>
  <si>
    <t>T-259</t>
  </si>
  <si>
    <t>Memory</t>
  </si>
  <si>
    <t>Uso memoria</t>
  </si>
  <si>
    <t>10+ min uso intenso</t>
  </si>
  <si>
    <t>No crash/rallentamenti</t>
  </si>
  <si>
    <t>T-260</t>
  </si>
  <si>
    <t>A11Y</t>
  </si>
  <si>
    <t>Touch</t>
  </si>
  <si>
    <t>Target touch 44px</t>
  </si>
  <si>
    <t>Bottoni e link principali</t>
  </si>
  <si>
    <t>&gt;= 44x44px</t>
  </si>
  <si>
    <t>T-261</t>
  </si>
  <si>
    <t>Contrasto</t>
  </si>
  <si>
    <t>Contrasto testo</t>
  </si>
  <si>
    <t>Testo su sfondi vari</t>
  </si>
  <si>
    <t>&gt;= 4.5:1 AA</t>
  </si>
  <si>
    <t>T-262</t>
  </si>
  <si>
    <t>Zoom</t>
  </si>
  <si>
    <t>Zoom browser 200%</t>
  </si>
  <si>
    <t>Browser &gt; Zoom 200%</t>
  </si>
  <si>
    <t>No overflow orizzontale</t>
  </si>
  <si>
    <t>T-263</t>
  </si>
  <si>
    <t>Font</t>
  </si>
  <si>
    <t>Font grande OS</t>
  </si>
  <si>
    <t>OS font size grande</t>
  </si>
  <si>
    <t>Scala senza troncamento</t>
  </si>
  <si>
    <t>T-264</t>
  </si>
  <si>
    <t>Motion</t>
  </si>
  <si>
    <t>Reduced motion</t>
  </si>
  <si>
    <t>OS reduce motion</t>
  </si>
  <si>
    <t>Animazioni ridotte</t>
  </si>
  <si>
    <t>T-265</t>
  </si>
  <si>
    <t>Dark</t>
  </si>
  <si>
    <t>Dark mode</t>
  </si>
  <si>
    <t>OS dark mode</t>
  </si>
  <si>
    <t>UI adattata contrasti ok</t>
  </si>
  <si>
    <t>T-266</t>
  </si>
  <si>
    <t>RESP</t>
  </si>
  <si>
    <t>Portrait</t>
  </si>
  <si>
    <t>Tutte pagine portrait</t>
  </si>
  <si>
    <t>Naviga in portrait</t>
  </si>
  <si>
    <t>No overflow</t>
  </si>
  <si>
    <t>T-267</t>
  </si>
  <si>
    <t>Landscape</t>
  </si>
  <si>
    <t>Tutte pagine landscape</t>
  </si>
  <si>
    <t>Ruota &gt; Naviga</t>
  </si>
  <si>
    <t>Layout adattato</t>
  </si>
  <si>
    <t>T-268</t>
  </si>
  <si>
    <t>Rotazione</t>
  </si>
  <si>
    <t>Rotazione senza perdita</t>
  </si>
  <si>
    <t>Form &gt; Ruota device</t>
  </si>
  <si>
    <t>Dati preservati</t>
  </si>
  <si>
    <t>T-269</t>
  </si>
  <si>
    <t>Tastiera</t>
  </si>
  <si>
    <t>Layout con tastiera</t>
  </si>
  <si>
    <t>Campo visibile</t>
  </si>
  <si>
    <t>T-270</t>
  </si>
  <si>
    <t>Notch</t>
  </si>
  <si>
    <t>Safe area notch</t>
  </si>
  <si>
    <t>Device notch/island</t>
  </si>
  <si>
    <t>Contenuto non coperto</t>
  </si>
  <si>
    <t>T-271</t>
  </si>
  <si>
    <t>MISC</t>
  </si>
  <si>
    <t>Versioni</t>
  </si>
  <si>
    <t>Changelog</t>
  </si>
  <si>
    <t>/versions</t>
  </si>
  <si>
    <t>T-272</t>
  </si>
  <si>
    <t>Migrazione</t>
  </si>
  <si>
    <t>Migrazioni pending</t>
  </si>
  <si>
    <t>/migrations/pending</t>
  </si>
  <si>
    <t>Lista + choose</t>
  </si>
  <si>
    <t>T-273</t>
  </si>
  <si>
    <t>Demo</t>
  </si>
  <si>
    <t>Demo toolkit</t>
  </si>
  <si>
    <t>/toolkit-demo</t>
  </si>
  <si>
    <t>Funzionante</t>
  </si>
  <si>
    <t>Metrica</t>
  </si>
  <si>
    <t>Valore</t>
  </si>
  <si>
    <t>Tot</t>
  </si>
  <si>
    <t>Pass</t>
  </si>
  <si>
    <t>Fail</t>
  </si>
  <si>
    <t>Test Totali</t>
  </si>
  <si>
    <t>P0 Critici</t>
  </si>
  <si>
    <t>P1 Importanti</t>
  </si>
  <si>
    <t>P2 Raccomandati</t>
  </si>
  <si>
    <t>PASS</t>
  </si>
  <si>
    <t>FAIL</t>
  </si>
  <si>
    <t>SKIP</t>
  </si>
  <si>
    <t>BLOCKED</t>
  </si>
  <si>
    <t>TODO / Vuoti</t>
  </si>
  <si>
    <t>% Completamento</t>
  </si>
  <si>
    <t>% Pass Rate</t>
  </si>
  <si>
    <t>Codice</t>
  </si>
  <si>
    <t>Significato</t>
  </si>
  <si>
    <t>Autenticazione: login, registrazione, OAuth, password</t>
  </si>
  <si>
    <t>Navigazione mobile: TabBar, FAB, TopNavbar, layout</t>
  </si>
  <si>
    <t>Dashboard / Gaming Hub</t>
  </si>
  <si>
    <t>Libreria: collection, wishlist, stati, condivisione</t>
  </si>
  <si>
    <t>Giochi privati: CRUD, wizard, toolkit</t>
  </si>
  <si>
    <t>Discover / Catalogo: ricerca, filtri, dettaglio</t>
  </si>
  <si>
    <t>Chat AI: thread, streaming SSE, export</t>
  </si>
  <si>
    <t>Voice input / TTS</t>
  </si>
  <si>
    <t>Agenti AI: lista, config, slot</t>
  </si>
  <si>
    <t>Sessioni / Live Play</t>
  </si>
  <si>
    <t>Toolkit: dadi, carte, timer, moneta, ruota, note</t>
  </si>
  <si>
    <t>Game Nights: serate di gioco</t>
  </si>
  <si>
    <t>Play Records: storico partite</t>
  </si>
  <si>
    <t>Giocatori: profili, stats</t>
  </si>
  <si>
    <t>Playlist: liste condivisibili</t>
  </si>
  <si>
    <t>Notifiche: badge, pannello, filtri</t>
  </si>
  <si>
    <t>Profilo e Impostazioni</t>
  </si>
  <si>
    <t>Gamification: badge, leaderboard</t>
  </si>
  <si>
    <t>Pricing / Tier: Free vs Premium</t>
  </si>
  <si>
    <t>Upload PDF (Admin/Editor)</t>
  </si>
  <si>
    <t>Knowledge Base / RuleSpec</t>
  </si>
  <si>
    <t>Editor: dashboard, proposals</t>
  </si>
  <si>
    <t>Offline / PWA: IndexedDB, sync</t>
  </si>
  <si>
    <t>Pagine pubbliche: landing, legal, catalogo</t>
  </si>
  <si>
    <t>Performance mobile</t>
  </si>
  <si>
    <t>Accessibilita</t>
  </si>
  <si>
    <t>Orientamento e Responsivita</t>
  </si>
  <si>
    <t>Varie</t>
  </si>
  <si>
    <t>Priorita</t>
  </si>
  <si>
    <t>Critico - Blocca uso app, DEVE funzionare</t>
  </si>
  <si>
    <t>Importante - Funzionalita core</t>
  </si>
  <si>
    <t>Raccomandato - Nice-to-have</t>
  </si>
  <si>
    <t>Test superato con successo</t>
  </si>
  <si>
    <t>Test fallito - Descrivere bug in Note</t>
  </si>
  <si>
    <t>Test saltato - Motivare in Note</t>
  </si>
  <si>
    <t>Bloccato da dipendenza - Specificare in Note</t>
  </si>
  <si>
    <t>TODO</t>
  </si>
  <si>
    <t>Non ancora eseguito</t>
  </si>
  <si>
    <t xml:space="preserve">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</si>
</sst>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5B7B1"/>
      </patternFill>
    </fill>
    <fill>
      <patternFill patternType="solid">
        <fgColor rgb="FFFAD7A0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8DAEF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164" fontId="2" fillId="0" borderId="1" xfId="0" applyNumberFormat="1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14" customWidth="1"/>
    <col min="3" max="3" width="16" customWidth="1"/>
    <col min="4" max="4" width="38" customWidth="1"/>
    <col min="5" max="5" width="48" customWidth="1"/>
    <col min="6" max="6" width="38" customWidth="1"/>
    <col min="7" max="7" width="8" customWidth="1"/>
    <col min="8" max="8" width="10" customWidth="1"/>
    <col min="9" max="9" width="30" customWidth="1"/>
    <col min="10" max="10" width="10" customWidth="1"/>
    <col min="11" max="11" width="11" customWidth="1"/>
    <col min="12" max="12" width="12" customWidth="1"/>
    <col min="13" max="13" width="8" customWidth="1"/>
  </cols>
  <sheetData>
    <row r="1" spans="1:13" ht="27.95" customHeight="1" x14ac:dyDescent="0.25">
      <c r="A1" s="1" t="s">
        <v>1295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2"/>
      <c r="I2" s="3"/>
      <c r="J2" s="2"/>
      <c r="K2" s="2"/>
      <c r="L2" s="2"/>
      <c r="M2" s="2"/>
    </row>
    <row r="3" spans="1:13" x14ac:dyDescent="0.25">
      <c r="A3" s="2" t="s">
        <v>19</v>
      </c>
      <c r="B3" s="2" t="s">
        <v>13</v>
      </c>
      <c r="C3" s="2" t="s">
        <v>14</v>
      </c>
      <c r="D3" s="3" t="s">
        <v>20</v>
      </c>
      <c r="E3" s="3" t="s">
        <v>21</v>
      </c>
      <c r="F3" s="3" t="s">
        <v>22</v>
      </c>
      <c r="G3" s="4" t="s">
        <v>18</v>
      </c>
      <c r="H3" s="2"/>
      <c r="I3" s="3"/>
      <c r="J3" s="2"/>
      <c r="K3" s="2"/>
      <c r="L3" s="2"/>
      <c r="M3" s="2"/>
    </row>
    <row r="4" spans="1:13" x14ac:dyDescent="0.25">
      <c r="A4" s="2" t="s">
        <v>23</v>
      </c>
      <c r="B4" s="2" t="s">
        <v>13</v>
      </c>
      <c r="C4" s="2" t="s">
        <v>14</v>
      </c>
      <c r="D4" s="3" t="s">
        <v>24</v>
      </c>
      <c r="E4" s="3" t="s">
        <v>25</v>
      </c>
      <c r="F4" s="3" t="s">
        <v>26</v>
      </c>
      <c r="G4" s="4" t="s">
        <v>18</v>
      </c>
      <c r="H4" s="2"/>
      <c r="I4" s="3"/>
      <c r="J4" s="2"/>
      <c r="K4" s="2"/>
      <c r="L4" s="2"/>
      <c r="M4" s="2"/>
    </row>
    <row r="5" spans="1:13" x14ac:dyDescent="0.25">
      <c r="A5" s="2" t="s">
        <v>27</v>
      </c>
      <c r="B5" s="2" t="s">
        <v>13</v>
      </c>
      <c r="C5" s="2" t="s">
        <v>14</v>
      </c>
      <c r="D5" s="3" t="s">
        <v>28</v>
      </c>
      <c r="E5" s="3" t="s">
        <v>29</v>
      </c>
      <c r="F5" s="3" t="s">
        <v>30</v>
      </c>
      <c r="G5" s="5" t="s">
        <v>31</v>
      </c>
      <c r="H5" s="2"/>
      <c r="I5" s="3"/>
      <c r="J5" s="2"/>
      <c r="K5" s="2"/>
      <c r="L5" s="2"/>
      <c r="M5" s="2"/>
    </row>
    <row r="6" spans="1:13" x14ac:dyDescent="0.25">
      <c r="A6" s="2" t="s">
        <v>32</v>
      </c>
      <c r="B6" s="2" t="s">
        <v>13</v>
      </c>
      <c r="C6" s="2" t="s">
        <v>14</v>
      </c>
      <c r="D6" s="3" t="s">
        <v>33</v>
      </c>
      <c r="E6" s="3" t="s">
        <v>34</v>
      </c>
      <c r="F6" s="3" t="s">
        <v>35</v>
      </c>
      <c r="G6" s="5" t="s">
        <v>31</v>
      </c>
      <c r="H6" s="2"/>
      <c r="I6" s="3"/>
      <c r="J6" s="2"/>
      <c r="K6" s="2"/>
      <c r="L6" s="2"/>
      <c r="M6" s="2"/>
    </row>
    <row r="7" spans="1:13" x14ac:dyDescent="0.25">
      <c r="A7" s="2" t="s">
        <v>36</v>
      </c>
      <c r="B7" s="2" t="s">
        <v>13</v>
      </c>
      <c r="C7" s="2" t="s">
        <v>37</v>
      </c>
      <c r="D7" s="3" t="s">
        <v>38</v>
      </c>
      <c r="E7" s="3" t="s">
        <v>39</v>
      </c>
      <c r="F7" s="3" t="s">
        <v>40</v>
      </c>
      <c r="G7" s="4" t="s">
        <v>18</v>
      </c>
      <c r="H7" s="2"/>
      <c r="I7" s="3"/>
      <c r="J7" s="2"/>
      <c r="K7" s="2"/>
      <c r="L7" s="2"/>
      <c r="M7" s="2"/>
    </row>
    <row r="8" spans="1:13" x14ac:dyDescent="0.25">
      <c r="A8" s="2" t="s">
        <v>41</v>
      </c>
      <c r="B8" s="2" t="s">
        <v>13</v>
      </c>
      <c r="C8" s="2" t="s">
        <v>37</v>
      </c>
      <c r="D8" s="3" t="s">
        <v>42</v>
      </c>
      <c r="E8" s="3" t="s">
        <v>43</v>
      </c>
      <c r="F8" s="3" t="s">
        <v>44</v>
      </c>
      <c r="G8" s="5" t="s">
        <v>31</v>
      </c>
      <c r="H8" s="2"/>
      <c r="I8" s="3"/>
      <c r="J8" s="2"/>
      <c r="K8" s="2"/>
      <c r="L8" s="2"/>
      <c r="M8" s="2"/>
    </row>
    <row r="9" spans="1:13" x14ac:dyDescent="0.25">
      <c r="A9" s="2" t="s">
        <v>45</v>
      </c>
      <c r="B9" s="2" t="s">
        <v>13</v>
      </c>
      <c r="C9" s="2" t="s">
        <v>46</v>
      </c>
      <c r="D9" s="3" t="s">
        <v>47</v>
      </c>
      <c r="E9" s="3" t="s">
        <v>48</v>
      </c>
      <c r="F9" s="3" t="s">
        <v>49</v>
      </c>
      <c r="G9" s="4" t="s">
        <v>18</v>
      </c>
      <c r="H9" s="2"/>
      <c r="I9" s="3"/>
      <c r="J9" s="2"/>
      <c r="K9" s="2"/>
      <c r="L9" s="2"/>
      <c r="M9" s="2"/>
    </row>
    <row r="10" spans="1:13" x14ac:dyDescent="0.25">
      <c r="A10" s="2" t="s">
        <v>50</v>
      </c>
      <c r="B10" s="2" t="s">
        <v>13</v>
      </c>
      <c r="C10" s="2" t="s">
        <v>46</v>
      </c>
      <c r="D10" s="3" t="s">
        <v>51</v>
      </c>
      <c r="E10" s="3" t="s">
        <v>52</v>
      </c>
      <c r="F10" s="3" t="s">
        <v>53</v>
      </c>
      <c r="G10" s="5" t="s">
        <v>31</v>
      </c>
      <c r="H10" s="2"/>
      <c r="I10" s="3"/>
      <c r="J10" s="2"/>
      <c r="K10" s="2"/>
      <c r="L10" s="2"/>
      <c r="M10" s="2"/>
    </row>
    <row r="11" spans="1:13" x14ac:dyDescent="0.25">
      <c r="A11" s="2" t="s">
        <v>54</v>
      </c>
      <c r="B11" s="2" t="s">
        <v>13</v>
      </c>
      <c r="C11" s="2" t="s">
        <v>55</v>
      </c>
      <c r="D11" s="3" t="s">
        <v>56</v>
      </c>
      <c r="E11" s="3" t="s">
        <v>57</v>
      </c>
      <c r="F11" s="3" t="s">
        <v>58</v>
      </c>
      <c r="G11" s="5" t="s">
        <v>31</v>
      </c>
      <c r="H11" s="2"/>
      <c r="I11" s="3"/>
      <c r="J11" s="2"/>
      <c r="K11" s="2"/>
      <c r="L11" s="2"/>
      <c r="M11" s="2"/>
    </row>
    <row r="12" spans="1:13" x14ac:dyDescent="0.25">
      <c r="A12" s="2" t="s">
        <v>59</v>
      </c>
      <c r="B12" s="2" t="s">
        <v>13</v>
      </c>
      <c r="C12" s="2" t="s">
        <v>55</v>
      </c>
      <c r="D12" s="3" t="s">
        <v>60</v>
      </c>
      <c r="E12" s="3" t="s">
        <v>61</v>
      </c>
      <c r="F12" s="3" t="s">
        <v>62</v>
      </c>
      <c r="G12" s="5" t="s">
        <v>31</v>
      </c>
      <c r="H12" s="2"/>
      <c r="I12" s="3"/>
      <c r="J12" s="2"/>
      <c r="K12" s="2"/>
      <c r="L12" s="2"/>
      <c r="M12" s="2"/>
    </row>
    <row r="13" spans="1:13" x14ac:dyDescent="0.25">
      <c r="A13" s="2" t="s">
        <v>63</v>
      </c>
      <c r="B13" s="2" t="s">
        <v>13</v>
      </c>
      <c r="C13" s="2" t="s">
        <v>64</v>
      </c>
      <c r="D13" s="3" t="s">
        <v>64</v>
      </c>
      <c r="E13" s="3" t="s">
        <v>65</v>
      </c>
      <c r="F13" s="3" t="s">
        <v>66</v>
      </c>
      <c r="G13" s="4" t="s">
        <v>18</v>
      </c>
      <c r="H13" s="2"/>
      <c r="I13" s="3"/>
      <c r="J13" s="2"/>
      <c r="K13" s="2"/>
      <c r="L13" s="2"/>
      <c r="M13" s="2"/>
    </row>
    <row r="14" spans="1:13" x14ac:dyDescent="0.25">
      <c r="A14" s="2" t="s">
        <v>67</v>
      </c>
      <c r="B14" s="2" t="s">
        <v>13</v>
      </c>
      <c r="C14" s="2" t="s">
        <v>68</v>
      </c>
      <c r="D14" s="3" t="s">
        <v>69</v>
      </c>
      <c r="E14" s="3" t="s">
        <v>70</v>
      </c>
      <c r="F14" s="3" t="s">
        <v>71</v>
      </c>
      <c r="G14" s="5" t="s">
        <v>31</v>
      </c>
      <c r="H14" s="2"/>
      <c r="I14" s="3"/>
      <c r="J14" s="2"/>
      <c r="K14" s="2"/>
      <c r="L14" s="2"/>
      <c r="M14" s="2"/>
    </row>
    <row r="15" spans="1:13" x14ac:dyDescent="0.25">
      <c r="A15" s="2" t="s">
        <v>72</v>
      </c>
      <c r="B15" s="2" t="s">
        <v>13</v>
      </c>
      <c r="C15" s="2" t="s">
        <v>73</v>
      </c>
      <c r="D15" s="3" t="s">
        <v>74</v>
      </c>
      <c r="E15" s="3" t="s">
        <v>75</v>
      </c>
      <c r="F15" s="3" t="s">
        <v>76</v>
      </c>
      <c r="G15" s="6" t="s">
        <v>77</v>
      </c>
      <c r="H15" s="2"/>
      <c r="I15" s="3"/>
      <c r="J15" s="2"/>
      <c r="K15" s="2"/>
      <c r="L15" s="2"/>
      <c r="M15" s="2"/>
    </row>
    <row r="16" spans="1:13" ht="25.5" x14ac:dyDescent="0.25">
      <c r="A16" s="2" t="s">
        <v>78</v>
      </c>
      <c r="B16" s="2" t="s">
        <v>79</v>
      </c>
      <c r="C16" s="2" t="s">
        <v>80</v>
      </c>
      <c r="D16" s="3" t="s">
        <v>81</v>
      </c>
      <c r="E16" s="3" t="s">
        <v>82</v>
      </c>
      <c r="F16" s="3" t="s">
        <v>83</v>
      </c>
      <c r="G16" s="4" t="s">
        <v>18</v>
      </c>
      <c r="H16" s="2"/>
      <c r="I16" s="3"/>
      <c r="J16" s="2"/>
      <c r="K16" s="2"/>
      <c r="L16" s="2"/>
      <c r="M16" s="2"/>
    </row>
    <row r="17" spans="1:13" x14ac:dyDescent="0.25">
      <c r="A17" s="2" t="s">
        <v>84</v>
      </c>
      <c r="B17" s="2" t="s">
        <v>79</v>
      </c>
      <c r="C17" s="2" t="s">
        <v>80</v>
      </c>
      <c r="D17" s="3" t="s">
        <v>85</v>
      </c>
      <c r="E17" s="3" t="s">
        <v>86</v>
      </c>
      <c r="F17" s="3" t="s">
        <v>87</v>
      </c>
      <c r="G17" s="5" t="s">
        <v>31</v>
      </c>
      <c r="H17" s="2"/>
      <c r="I17" s="3"/>
      <c r="J17" s="2"/>
      <c r="K17" s="2"/>
      <c r="L17" s="2"/>
      <c r="M17" s="2"/>
    </row>
    <row r="18" spans="1:13" x14ac:dyDescent="0.25">
      <c r="A18" s="2" t="s">
        <v>88</v>
      </c>
      <c r="B18" s="2" t="s">
        <v>79</v>
      </c>
      <c r="C18" s="2" t="s">
        <v>80</v>
      </c>
      <c r="D18" s="3" t="s">
        <v>89</v>
      </c>
      <c r="E18" s="3" t="s">
        <v>90</v>
      </c>
      <c r="F18" s="3" t="s">
        <v>91</v>
      </c>
      <c r="G18" s="5" t="s">
        <v>31</v>
      </c>
      <c r="H18" s="2"/>
      <c r="I18" s="3"/>
      <c r="J18" s="2"/>
      <c r="K18" s="2"/>
      <c r="L18" s="2"/>
      <c r="M18" s="2"/>
    </row>
    <row r="19" spans="1:13" x14ac:dyDescent="0.25">
      <c r="A19" s="2" t="s">
        <v>92</v>
      </c>
      <c r="B19" s="2" t="s">
        <v>79</v>
      </c>
      <c r="C19" s="2" t="s">
        <v>80</v>
      </c>
      <c r="D19" s="3" t="s">
        <v>93</v>
      </c>
      <c r="E19" s="3" t="s">
        <v>94</v>
      </c>
      <c r="F19" s="3" t="s">
        <v>95</v>
      </c>
      <c r="G19" s="5" t="s">
        <v>31</v>
      </c>
      <c r="H19" s="2"/>
      <c r="I19" s="3"/>
      <c r="J19" s="2"/>
      <c r="K19" s="2"/>
      <c r="L19" s="2"/>
      <c r="M19" s="2"/>
    </row>
    <row r="20" spans="1:13" x14ac:dyDescent="0.25">
      <c r="A20" s="2" t="s">
        <v>96</v>
      </c>
      <c r="B20" s="2" t="s">
        <v>79</v>
      </c>
      <c r="C20" s="2" t="s">
        <v>80</v>
      </c>
      <c r="D20" s="3" t="s">
        <v>97</v>
      </c>
      <c r="E20" s="3" t="s">
        <v>98</v>
      </c>
      <c r="F20" s="3" t="s">
        <v>99</v>
      </c>
      <c r="G20" s="5" t="s">
        <v>31</v>
      </c>
      <c r="H20" s="2"/>
      <c r="I20" s="3"/>
      <c r="J20" s="2"/>
      <c r="K20" s="2"/>
      <c r="L20" s="2"/>
      <c r="M20" s="2"/>
    </row>
    <row r="21" spans="1:13" x14ac:dyDescent="0.25">
      <c r="A21" s="2" t="s">
        <v>100</v>
      </c>
      <c r="B21" s="2" t="s">
        <v>79</v>
      </c>
      <c r="C21" s="2" t="s">
        <v>101</v>
      </c>
      <c r="D21" s="3" t="s">
        <v>102</v>
      </c>
      <c r="E21" s="3" t="s">
        <v>103</v>
      </c>
      <c r="F21" s="3" t="s">
        <v>104</v>
      </c>
      <c r="G21" s="5" t="s">
        <v>31</v>
      </c>
      <c r="H21" s="2"/>
      <c r="I21" s="3"/>
      <c r="J21" s="2"/>
      <c r="K21" s="2"/>
      <c r="L21" s="2"/>
      <c r="M21" s="2"/>
    </row>
    <row r="22" spans="1:13" x14ac:dyDescent="0.25">
      <c r="A22" s="2" t="s">
        <v>105</v>
      </c>
      <c r="B22" s="2" t="s">
        <v>79</v>
      </c>
      <c r="C22" s="2" t="s">
        <v>101</v>
      </c>
      <c r="D22" s="3" t="s">
        <v>106</v>
      </c>
      <c r="E22" s="3" t="s">
        <v>107</v>
      </c>
      <c r="F22" s="3" t="s">
        <v>108</v>
      </c>
      <c r="G22" s="5" t="s">
        <v>31</v>
      </c>
      <c r="H22" s="2"/>
      <c r="I22" s="3"/>
      <c r="J22" s="2"/>
      <c r="K22" s="2"/>
      <c r="L22" s="2"/>
      <c r="M22" s="2"/>
    </row>
    <row r="23" spans="1:13" x14ac:dyDescent="0.25">
      <c r="A23" s="2" t="s">
        <v>109</v>
      </c>
      <c r="B23" s="2" t="s">
        <v>79</v>
      </c>
      <c r="C23" s="2" t="s">
        <v>101</v>
      </c>
      <c r="D23" s="3" t="s">
        <v>110</v>
      </c>
      <c r="E23" s="3" t="s">
        <v>111</v>
      </c>
      <c r="F23" s="3" t="s">
        <v>112</v>
      </c>
      <c r="G23" s="5" t="s">
        <v>31</v>
      </c>
      <c r="H23" s="2"/>
      <c r="I23" s="3"/>
      <c r="J23" s="2"/>
      <c r="K23" s="2"/>
      <c r="L23" s="2"/>
      <c r="M23" s="2"/>
    </row>
    <row r="24" spans="1:13" x14ac:dyDescent="0.25">
      <c r="A24" s="2" t="s">
        <v>113</v>
      </c>
      <c r="B24" s="2" t="s">
        <v>79</v>
      </c>
      <c r="C24" s="2" t="s">
        <v>101</v>
      </c>
      <c r="D24" s="3" t="s">
        <v>114</v>
      </c>
      <c r="E24" s="3" t="s">
        <v>115</v>
      </c>
      <c r="F24" s="3" t="s">
        <v>108</v>
      </c>
      <c r="G24" s="5" t="s">
        <v>31</v>
      </c>
      <c r="H24" s="2"/>
      <c r="I24" s="3"/>
      <c r="J24" s="2"/>
      <c r="K24" s="2"/>
      <c r="L24" s="2"/>
      <c r="M24" s="2"/>
    </row>
    <row r="25" spans="1:13" x14ac:dyDescent="0.25">
      <c r="A25" s="2" t="s">
        <v>116</v>
      </c>
      <c r="B25" s="2" t="s">
        <v>79</v>
      </c>
      <c r="C25" s="2" t="s">
        <v>101</v>
      </c>
      <c r="D25" s="3" t="s">
        <v>117</v>
      </c>
      <c r="E25" s="3" t="s">
        <v>118</v>
      </c>
      <c r="F25" s="3" t="s">
        <v>119</v>
      </c>
      <c r="G25" s="6" t="s">
        <v>77</v>
      </c>
      <c r="H25" s="2"/>
      <c r="I25" s="3"/>
      <c r="J25" s="2"/>
      <c r="K25" s="2"/>
      <c r="L25" s="2"/>
      <c r="M25" s="2"/>
    </row>
    <row r="26" spans="1:13" x14ac:dyDescent="0.25">
      <c r="A26" s="2" t="s">
        <v>120</v>
      </c>
      <c r="B26" s="2" t="s">
        <v>79</v>
      </c>
      <c r="C26" s="2" t="s">
        <v>101</v>
      </c>
      <c r="D26" s="3" t="s">
        <v>121</v>
      </c>
      <c r="E26" s="3" t="s">
        <v>122</v>
      </c>
      <c r="F26" s="3" t="s">
        <v>123</v>
      </c>
      <c r="G26" s="5" t="s">
        <v>31</v>
      </c>
      <c r="H26" s="2"/>
      <c r="I26" s="3"/>
      <c r="J26" s="2"/>
      <c r="K26" s="2"/>
      <c r="L26" s="2"/>
      <c r="M26" s="2"/>
    </row>
    <row r="27" spans="1:13" x14ac:dyDescent="0.25">
      <c r="A27" s="2" t="s">
        <v>124</v>
      </c>
      <c r="B27" s="2" t="s">
        <v>79</v>
      </c>
      <c r="C27" s="2" t="s">
        <v>125</v>
      </c>
      <c r="D27" s="3" t="s">
        <v>126</v>
      </c>
      <c r="E27" s="3" t="s">
        <v>127</v>
      </c>
      <c r="F27" s="3" t="s">
        <v>128</v>
      </c>
      <c r="G27" s="4" t="s">
        <v>18</v>
      </c>
      <c r="H27" s="2"/>
      <c r="I27" s="3"/>
      <c r="J27" s="2"/>
      <c r="K27" s="2"/>
      <c r="L27" s="2"/>
      <c r="M27" s="2"/>
    </row>
    <row r="28" spans="1:13" x14ac:dyDescent="0.25">
      <c r="A28" s="2" t="s">
        <v>129</v>
      </c>
      <c r="B28" s="2" t="s">
        <v>79</v>
      </c>
      <c r="C28" s="2" t="s">
        <v>125</v>
      </c>
      <c r="D28" s="3" t="s">
        <v>130</v>
      </c>
      <c r="E28" s="3" t="s">
        <v>131</v>
      </c>
      <c r="F28" s="3" t="s">
        <v>132</v>
      </c>
      <c r="G28" s="5" t="s">
        <v>31</v>
      </c>
      <c r="H28" s="2"/>
      <c r="I28" s="3"/>
      <c r="J28" s="2"/>
      <c r="K28" s="2"/>
      <c r="L28" s="2"/>
      <c r="M28" s="2"/>
    </row>
    <row r="29" spans="1:13" x14ac:dyDescent="0.25">
      <c r="A29" s="2" t="s">
        <v>133</v>
      </c>
      <c r="B29" s="2" t="s">
        <v>79</v>
      </c>
      <c r="C29" s="2" t="s">
        <v>125</v>
      </c>
      <c r="D29" s="3" t="s">
        <v>134</v>
      </c>
      <c r="E29" s="3" t="s">
        <v>135</v>
      </c>
      <c r="F29" s="3" t="s">
        <v>136</v>
      </c>
      <c r="G29" s="5" t="s">
        <v>31</v>
      </c>
      <c r="H29" s="2"/>
      <c r="I29" s="3"/>
      <c r="J29" s="2"/>
      <c r="K29" s="2"/>
      <c r="L29" s="2"/>
      <c r="M29" s="2"/>
    </row>
    <row r="30" spans="1:13" x14ac:dyDescent="0.25">
      <c r="A30" s="2" t="s">
        <v>137</v>
      </c>
      <c r="B30" s="2" t="s">
        <v>79</v>
      </c>
      <c r="C30" s="2" t="s">
        <v>125</v>
      </c>
      <c r="D30" s="3" t="s">
        <v>138</v>
      </c>
      <c r="E30" s="3" t="s">
        <v>139</v>
      </c>
      <c r="F30" s="3" t="s">
        <v>140</v>
      </c>
      <c r="G30" s="5" t="s">
        <v>31</v>
      </c>
      <c r="H30" s="2"/>
      <c r="I30" s="3"/>
      <c r="J30" s="2"/>
      <c r="K30" s="2"/>
      <c r="L30" s="2"/>
      <c r="M30" s="2"/>
    </row>
    <row r="31" spans="1:13" x14ac:dyDescent="0.25">
      <c r="A31" s="2" t="s">
        <v>141</v>
      </c>
      <c r="B31" s="2" t="s">
        <v>79</v>
      </c>
      <c r="C31" s="2" t="s">
        <v>142</v>
      </c>
      <c r="D31" s="3" t="s">
        <v>143</v>
      </c>
      <c r="E31" s="3" t="s">
        <v>144</v>
      </c>
      <c r="F31" s="3" t="s">
        <v>145</v>
      </c>
      <c r="G31" s="6" t="s">
        <v>77</v>
      </c>
      <c r="H31" s="2"/>
      <c r="I31" s="3"/>
      <c r="J31" s="2"/>
      <c r="K31" s="2"/>
      <c r="L31" s="2"/>
      <c r="M31" s="2"/>
    </row>
    <row r="32" spans="1:13" x14ac:dyDescent="0.25">
      <c r="A32" s="2" t="s">
        <v>146</v>
      </c>
      <c r="B32" s="2" t="s">
        <v>79</v>
      </c>
      <c r="C32" s="2" t="s">
        <v>147</v>
      </c>
      <c r="D32" s="3" t="s">
        <v>148</v>
      </c>
      <c r="E32" s="3" t="s">
        <v>149</v>
      </c>
      <c r="F32" s="3" t="s">
        <v>150</v>
      </c>
      <c r="G32" s="5" t="s">
        <v>31</v>
      </c>
      <c r="H32" s="2"/>
      <c r="I32" s="3"/>
      <c r="J32" s="2"/>
      <c r="K32" s="2"/>
      <c r="L32" s="2"/>
      <c r="M32" s="2"/>
    </row>
    <row r="33" spans="1:13" x14ac:dyDescent="0.25">
      <c r="A33" s="2" t="s">
        <v>151</v>
      </c>
      <c r="B33" s="2" t="s">
        <v>79</v>
      </c>
      <c r="C33" s="2" t="s">
        <v>147</v>
      </c>
      <c r="D33" s="3" t="s">
        <v>152</v>
      </c>
      <c r="E33" s="3" t="s">
        <v>153</v>
      </c>
      <c r="F33" s="3" t="s">
        <v>154</v>
      </c>
      <c r="G33" s="5" t="s">
        <v>31</v>
      </c>
      <c r="H33" s="2"/>
      <c r="I33" s="3"/>
      <c r="J33" s="2"/>
      <c r="K33" s="2"/>
      <c r="L33" s="2"/>
      <c r="M33" s="2"/>
    </row>
    <row r="34" spans="1:13" x14ac:dyDescent="0.25">
      <c r="A34" s="2" t="s">
        <v>155</v>
      </c>
      <c r="B34" s="2" t="s">
        <v>156</v>
      </c>
      <c r="C34" s="2" t="s">
        <v>157</v>
      </c>
      <c r="D34" s="3" t="s">
        <v>158</v>
      </c>
      <c r="E34" s="3" t="s">
        <v>159</v>
      </c>
      <c r="F34" s="3" t="s">
        <v>160</v>
      </c>
      <c r="G34" s="4" t="s">
        <v>18</v>
      </c>
      <c r="H34" s="2"/>
      <c r="I34" s="3"/>
      <c r="J34" s="2"/>
      <c r="K34" s="2"/>
      <c r="L34" s="2"/>
      <c r="M34" s="2"/>
    </row>
    <row r="35" spans="1:13" x14ac:dyDescent="0.25">
      <c r="A35" s="2" t="s">
        <v>161</v>
      </c>
      <c r="B35" s="2" t="s">
        <v>156</v>
      </c>
      <c r="C35" s="2" t="s">
        <v>157</v>
      </c>
      <c r="D35" s="3" t="s">
        <v>162</v>
      </c>
      <c r="E35" s="3" t="s">
        <v>163</v>
      </c>
      <c r="F35" s="3" t="s">
        <v>164</v>
      </c>
      <c r="G35" s="5" t="s">
        <v>31</v>
      </c>
      <c r="H35" s="2"/>
      <c r="I35" s="3"/>
      <c r="J35" s="2"/>
      <c r="K35" s="2"/>
      <c r="L35" s="2"/>
      <c r="M35" s="2"/>
    </row>
    <row r="36" spans="1:13" x14ac:dyDescent="0.25">
      <c r="A36" s="2" t="s">
        <v>165</v>
      </c>
      <c r="B36" s="2" t="s">
        <v>156</v>
      </c>
      <c r="C36" s="2" t="s">
        <v>157</v>
      </c>
      <c r="D36" s="3" t="s">
        <v>166</v>
      </c>
      <c r="E36" s="3" t="s">
        <v>167</v>
      </c>
      <c r="F36" s="3" t="s">
        <v>168</v>
      </c>
      <c r="G36" s="5" t="s">
        <v>31</v>
      </c>
      <c r="H36" s="2"/>
      <c r="I36" s="3"/>
      <c r="J36" s="2"/>
      <c r="K36" s="2"/>
      <c r="L36" s="2"/>
      <c r="M36" s="2"/>
    </row>
    <row r="37" spans="1:13" x14ac:dyDescent="0.25">
      <c r="A37" s="2" t="s">
        <v>169</v>
      </c>
      <c r="B37" s="2" t="s">
        <v>156</v>
      </c>
      <c r="C37" s="2" t="s">
        <v>157</v>
      </c>
      <c r="D37" s="3" t="s">
        <v>170</v>
      </c>
      <c r="E37" s="3" t="s">
        <v>171</v>
      </c>
      <c r="F37" s="3" t="s">
        <v>172</v>
      </c>
      <c r="G37" s="5" t="s">
        <v>31</v>
      </c>
      <c r="H37" s="2"/>
      <c r="I37" s="3"/>
      <c r="J37" s="2"/>
      <c r="K37" s="2"/>
      <c r="L37" s="2"/>
      <c r="M37" s="2"/>
    </row>
    <row r="38" spans="1:13" x14ac:dyDescent="0.25">
      <c r="A38" s="2" t="s">
        <v>173</v>
      </c>
      <c r="B38" s="2" t="s">
        <v>156</v>
      </c>
      <c r="C38" s="2" t="s">
        <v>157</v>
      </c>
      <c r="D38" s="3" t="s">
        <v>174</v>
      </c>
      <c r="E38" s="3" t="s">
        <v>175</v>
      </c>
      <c r="F38" s="3" t="s">
        <v>176</v>
      </c>
      <c r="G38" s="5" t="s">
        <v>31</v>
      </c>
      <c r="H38" s="2"/>
      <c r="I38" s="3"/>
      <c r="J38" s="2"/>
      <c r="K38" s="2"/>
      <c r="L38" s="2"/>
      <c r="M38" s="2"/>
    </row>
    <row r="39" spans="1:13" x14ac:dyDescent="0.25">
      <c r="A39" s="2" t="s">
        <v>177</v>
      </c>
      <c r="B39" s="2" t="s">
        <v>156</v>
      </c>
      <c r="C39" s="2" t="s">
        <v>157</v>
      </c>
      <c r="D39" s="3" t="s">
        <v>178</v>
      </c>
      <c r="E39" s="3" t="s">
        <v>179</v>
      </c>
      <c r="F39" s="3" t="s">
        <v>180</v>
      </c>
      <c r="G39" s="6" t="s">
        <v>77</v>
      </c>
      <c r="H39" s="2"/>
      <c r="I39" s="3"/>
      <c r="J39" s="2"/>
      <c r="K39" s="2"/>
      <c r="L39" s="2"/>
      <c r="M39" s="2"/>
    </row>
    <row r="40" spans="1:13" x14ac:dyDescent="0.25">
      <c r="A40" s="2" t="s">
        <v>181</v>
      </c>
      <c r="B40" s="2" t="s">
        <v>156</v>
      </c>
      <c r="C40" s="2" t="s">
        <v>157</v>
      </c>
      <c r="D40" s="3" t="s">
        <v>182</v>
      </c>
      <c r="E40" s="3" t="s">
        <v>183</v>
      </c>
      <c r="F40" s="3" t="s">
        <v>184</v>
      </c>
      <c r="G40" s="6" t="s">
        <v>77</v>
      </c>
      <c r="H40" s="2"/>
      <c r="I40" s="3"/>
      <c r="J40" s="2"/>
      <c r="K40" s="2"/>
      <c r="L40" s="2"/>
      <c r="M40" s="2"/>
    </row>
    <row r="41" spans="1:13" x14ac:dyDescent="0.25">
      <c r="A41" s="2" t="s">
        <v>185</v>
      </c>
      <c r="B41" s="2" t="s">
        <v>156</v>
      </c>
      <c r="C41" s="2" t="s">
        <v>186</v>
      </c>
      <c r="D41" s="3" t="s">
        <v>187</v>
      </c>
      <c r="E41" s="3" t="s">
        <v>188</v>
      </c>
      <c r="F41" s="3" t="s">
        <v>189</v>
      </c>
      <c r="G41" s="6" t="s">
        <v>77</v>
      </c>
      <c r="H41" s="2"/>
      <c r="I41" s="3"/>
      <c r="J41" s="2"/>
      <c r="K41" s="2"/>
      <c r="L41" s="2"/>
      <c r="M41" s="2"/>
    </row>
    <row r="42" spans="1:13" x14ac:dyDescent="0.25">
      <c r="A42" s="2" t="s">
        <v>190</v>
      </c>
      <c r="B42" s="2" t="s">
        <v>156</v>
      </c>
      <c r="C42" s="2" t="s">
        <v>191</v>
      </c>
      <c r="D42" s="3" t="s">
        <v>191</v>
      </c>
      <c r="E42" s="3" t="s">
        <v>192</v>
      </c>
      <c r="F42" s="3" t="s">
        <v>193</v>
      </c>
      <c r="G42" s="6" t="s">
        <v>77</v>
      </c>
      <c r="H42" s="2"/>
      <c r="I42" s="3"/>
      <c r="J42" s="2"/>
      <c r="K42" s="2"/>
      <c r="L42" s="2"/>
      <c r="M42" s="2"/>
    </row>
    <row r="43" spans="1:13" x14ac:dyDescent="0.25">
      <c r="A43" s="2" t="s">
        <v>194</v>
      </c>
      <c r="B43" s="2" t="s">
        <v>195</v>
      </c>
      <c r="C43" s="2" t="s">
        <v>196</v>
      </c>
      <c r="D43" s="3" t="s">
        <v>197</v>
      </c>
      <c r="E43" s="3" t="s">
        <v>198</v>
      </c>
      <c r="F43" s="3" t="s">
        <v>199</v>
      </c>
      <c r="G43" s="4" t="s">
        <v>18</v>
      </c>
      <c r="H43" s="2"/>
      <c r="I43" s="3"/>
      <c r="J43" s="2"/>
      <c r="K43" s="2"/>
      <c r="L43" s="2"/>
      <c r="M43" s="2"/>
    </row>
    <row r="44" spans="1:13" x14ac:dyDescent="0.25">
      <c r="A44" s="2" t="s">
        <v>200</v>
      </c>
      <c r="B44" s="2" t="s">
        <v>195</v>
      </c>
      <c r="C44" s="2" t="s">
        <v>196</v>
      </c>
      <c r="D44" s="3" t="s">
        <v>201</v>
      </c>
      <c r="E44" s="3" t="s">
        <v>202</v>
      </c>
      <c r="F44" s="3" t="s">
        <v>203</v>
      </c>
      <c r="G44" s="4" t="s">
        <v>18</v>
      </c>
      <c r="H44" s="2"/>
      <c r="I44" s="3"/>
      <c r="J44" s="2"/>
      <c r="K44" s="2"/>
      <c r="L44" s="2"/>
      <c r="M44" s="2"/>
    </row>
    <row r="45" spans="1:13" x14ac:dyDescent="0.25">
      <c r="A45" s="2" t="s">
        <v>204</v>
      </c>
      <c r="B45" s="2" t="s">
        <v>195</v>
      </c>
      <c r="C45" s="2" t="s">
        <v>196</v>
      </c>
      <c r="D45" s="3" t="s">
        <v>205</v>
      </c>
      <c r="E45" s="3" t="s">
        <v>206</v>
      </c>
      <c r="F45" s="3" t="s">
        <v>207</v>
      </c>
      <c r="G45" s="4" t="s">
        <v>18</v>
      </c>
      <c r="H45" s="2"/>
      <c r="I45" s="3"/>
      <c r="J45" s="2"/>
      <c r="K45" s="2"/>
      <c r="L45" s="2"/>
      <c r="M45" s="2"/>
    </row>
    <row r="46" spans="1:13" x14ac:dyDescent="0.25">
      <c r="A46" s="2" t="s">
        <v>208</v>
      </c>
      <c r="B46" s="2" t="s">
        <v>195</v>
      </c>
      <c r="C46" s="2" t="s">
        <v>209</v>
      </c>
      <c r="D46" s="3" t="s">
        <v>210</v>
      </c>
      <c r="E46" s="3" t="s">
        <v>211</v>
      </c>
      <c r="F46" s="3" t="s">
        <v>212</v>
      </c>
      <c r="G46" s="5" t="s">
        <v>31</v>
      </c>
      <c r="H46" s="2"/>
      <c r="I46" s="3"/>
      <c r="J46" s="2"/>
      <c r="K46" s="2"/>
      <c r="L46" s="2"/>
      <c r="M46" s="2"/>
    </row>
    <row r="47" spans="1:13" x14ac:dyDescent="0.25">
      <c r="A47" s="2" t="s">
        <v>213</v>
      </c>
      <c r="B47" s="2" t="s">
        <v>195</v>
      </c>
      <c r="C47" s="2" t="s">
        <v>209</v>
      </c>
      <c r="D47" s="3" t="s">
        <v>214</v>
      </c>
      <c r="E47" s="3" t="s">
        <v>215</v>
      </c>
      <c r="F47" s="3" t="s">
        <v>216</v>
      </c>
      <c r="G47" s="5" t="s">
        <v>31</v>
      </c>
      <c r="H47" s="2"/>
      <c r="I47" s="3"/>
      <c r="J47" s="2"/>
      <c r="K47" s="2"/>
      <c r="L47" s="2"/>
      <c r="M47" s="2"/>
    </row>
    <row r="48" spans="1:13" x14ac:dyDescent="0.25">
      <c r="A48" s="2" t="s">
        <v>217</v>
      </c>
      <c r="B48" s="2" t="s">
        <v>195</v>
      </c>
      <c r="C48" s="2" t="s">
        <v>218</v>
      </c>
      <c r="D48" s="3" t="s">
        <v>219</v>
      </c>
      <c r="E48" s="3" t="s">
        <v>220</v>
      </c>
      <c r="F48" s="3" t="s">
        <v>221</v>
      </c>
      <c r="G48" s="4" t="s">
        <v>18</v>
      </c>
      <c r="H48" s="2"/>
      <c r="I48" s="3"/>
      <c r="J48" s="2"/>
      <c r="K48" s="2"/>
      <c r="L48" s="2"/>
      <c r="M48" s="2"/>
    </row>
    <row r="49" spans="1:13" x14ac:dyDescent="0.25">
      <c r="A49" s="2" t="s">
        <v>222</v>
      </c>
      <c r="B49" s="2" t="s">
        <v>195</v>
      </c>
      <c r="C49" s="2" t="s">
        <v>218</v>
      </c>
      <c r="D49" s="3" t="s">
        <v>223</v>
      </c>
      <c r="E49" s="3" t="s">
        <v>224</v>
      </c>
      <c r="F49" s="3" t="s">
        <v>225</v>
      </c>
      <c r="G49" s="4" t="s">
        <v>18</v>
      </c>
      <c r="H49" s="2"/>
      <c r="I49" s="3"/>
      <c r="J49" s="2"/>
      <c r="K49" s="2"/>
      <c r="L49" s="2"/>
      <c r="M49" s="2"/>
    </row>
    <row r="50" spans="1:13" x14ac:dyDescent="0.25">
      <c r="A50" s="2" t="s">
        <v>226</v>
      </c>
      <c r="B50" s="2" t="s">
        <v>195</v>
      </c>
      <c r="C50" s="2" t="s">
        <v>227</v>
      </c>
      <c r="D50" s="3" t="s">
        <v>228</v>
      </c>
      <c r="E50" s="3" t="s">
        <v>229</v>
      </c>
      <c r="F50" s="3" t="s">
        <v>230</v>
      </c>
      <c r="G50" s="4" t="s">
        <v>18</v>
      </c>
      <c r="H50" s="2"/>
      <c r="I50" s="3"/>
      <c r="J50" s="2"/>
      <c r="K50" s="2"/>
      <c r="L50" s="2"/>
      <c r="M50" s="2"/>
    </row>
    <row r="51" spans="1:13" x14ac:dyDescent="0.25">
      <c r="A51" s="2" t="s">
        <v>231</v>
      </c>
      <c r="B51" s="2" t="s">
        <v>195</v>
      </c>
      <c r="C51" s="2" t="s">
        <v>6</v>
      </c>
      <c r="D51" s="3" t="s">
        <v>232</v>
      </c>
      <c r="E51" s="3" t="s">
        <v>233</v>
      </c>
      <c r="F51" s="3" t="s">
        <v>234</v>
      </c>
      <c r="G51" s="5" t="s">
        <v>31</v>
      </c>
      <c r="H51" s="2"/>
      <c r="I51" s="3"/>
      <c r="J51" s="2"/>
      <c r="K51" s="2"/>
      <c r="L51" s="2"/>
      <c r="M51" s="2"/>
    </row>
    <row r="52" spans="1:13" x14ac:dyDescent="0.25">
      <c r="A52" s="2" t="s">
        <v>235</v>
      </c>
      <c r="B52" s="2" t="s">
        <v>195</v>
      </c>
      <c r="C52" s="2" t="s">
        <v>236</v>
      </c>
      <c r="D52" s="3" t="s">
        <v>237</v>
      </c>
      <c r="E52" s="3" t="s">
        <v>238</v>
      </c>
      <c r="F52" s="3" t="s">
        <v>239</v>
      </c>
      <c r="G52" s="5" t="s">
        <v>31</v>
      </c>
      <c r="H52" s="2"/>
      <c r="I52" s="3"/>
      <c r="J52" s="2"/>
      <c r="K52" s="2"/>
      <c r="L52" s="2"/>
      <c r="M52" s="2"/>
    </row>
    <row r="53" spans="1:13" x14ac:dyDescent="0.25">
      <c r="A53" s="2" t="s">
        <v>240</v>
      </c>
      <c r="B53" s="2" t="s">
        <v>195</v>
      </c>
      <c r="C53" s="2" t="s">
        <v>241</v>
      </c>
      <c r="D53" s="3" t="s">
        <v>242</v>
      </c>
      <c r="E53" s="3" t="s">
        <v>243</v>
      </c>
      <c r="F53" s="3" t="s">
        <v>244</v>
      </c>
      <c r="G53" s="5" t="s">
        <v>31</v>
      </c>
      <c r="H53" s="2"/>
      <c r="I53" s="3"/>
      <c r="J53" s="2"/>
      <c r="K53" s="2"/>
      <c r="L53" s="2"/>
      <c r="M53" s="2"/>
    </row>
    <row r="54" spans="1:13" x14ac:dyDescent="0.25">
      <c r="A54" s="2" t="s">
        <v>245</v>
      </c>
      <c r="B54" s="2" t="s">
        <v>195</v>
      </c>
      <c r="C54" s="2" t="s">
        <v>246</v>
      </c>
      <c r="D54" s="3" t="s">
        <v>247</v>
      </c>
      <c r="E54" s="3" t="s">
        <v>248</v>
      </c>
      <c r="F54" s="3" t="s">
        <v>249</v>
      </c>
      <c r="G54" s="6" t="s">
        <v>77</v>
      </c>
      <c r="H54" s="2"/>
      <c r="I54" s="3"/>
      <c r="J54" s="2"/>
      <c r="K54" s="2"/>
      <c r="L54" s="2"/>
      <c r="M54" s="2"/>
    </row>
    <row r="55" spans="1:13" x14ac:dyDescent="0.25">
      <c r="A55" s="2" t="s">
        <v>250</v>
      </c>
      <c r="B55" s="2" t="s">
        <v>195</v>
      </c>
      <c r="C55" s="2" t="s">
        <v>246</v>
      </c>
      <c r="D55" s="3" t="s">
        <v>251</v>
      </c>
      <c r="E55" s="3" t="s">
        <v>252</v>
      </c>
      <c r="F55" s="3" t="s">
        <v>253</v>
      </c>
      <c r="G55" s="6" t="s">
        <v>77</v>
      </c>
      <c r="H55" s="2"/>
      <c r="I55" s="3"/>
      <c r="J55" s="2"/>
      <c r="K55" s="2"/>
      <c r="L55" s="2"/>
      <c r="M55" s="2"/>
    </row>
    <row r="56" spans="1:13" x14ac:dyDescent="0.25">
      <c r="A56" s="2" t="s">
        <v>254</v>
      </c>
      <c r="B56" s="2" t="s">
        <v>195</v>
      </c>
      <c r="C56" s="2" t="s">
        <v>255</v>
      </c>
      <c r="D56" s="3" t="s">
        <v>256</v>
      </c>
      <c r="E56" s="3" t="s">
        <v>257</v>
      </c>
      <c r="F56" s="3" t="s">
        <v>258</v>
      </c>
      <c r="G56" s="5" t="s">
        <v>31</v>
      </c>
      <c r="H56" s="2"/>
      <c r="I56" s="3"/>
      <c r="J56" s="2"/>
      <c r="K56" s="2"/>
      <c r="L56" s="2"/>
      <c r="M56" s="2"/>
    </row>
    <row r="57" spans="1:13" x14ac:dyDescent="0.25">
      <c r="A57" s="2" t="s">
        <v>259</v>
      </c>
      <c r="B57" s="2" t="s">
        <v>195</v>
      </c>
      <c r="C57" s="2" t="s">
        <v>260</v>
      </c>
      <c r="D57" s="3" t="s">
        <v>261</v>
      </c>
      <c r="E57" s="3" t="s">
        <v>262</v>
      </c>
      <c r="F57" s="3" t="s">
        <v>263</v>
      </c>
      <c r="G57" s="5" t="s">
        <v>31</v>
      </c>
      <c r="H57" s="2"/>
      <c r="I57" s="3"/>
      <c r="J57" s="2"/>
      <c r="K57" s="2"/>
      <c r="L57" s="2"/>
      <c r="M57" s="2"/>
    </row>
    <row r="58" spans="1:13" x14ac:dyDescent="0.25">
      <c r="A58" s="2" t="s">
        <v>264</v>
      </c>
      <c r="B58" s="2" t="s">
        <v>195</v>
      </c>
      <c r="C58" s="2" t="s">
        <v>260</v>
      </c>
      <c r="D58" s="3" t="s">
        <v>265</v>
      </c>
      <c r="E58" s="3" t="s">
        <v>266</v>
      </c>
      <c r="F58" s="3" t="s">
        <v>267</v>
      </c>
      <c r="G58" s="5" t="s">
        <v>31</v>
      </c>
      <c r="H58" s="2"/>
      <c r="I58" s="3"/>
      <c r="J58" s="2"/>
      <c r="K58" s="2"/>
      <c r="L58" s="2"/>
      <c r="M58" s="2"/>
    </row>
    <row r="59" spans="1:13" x14ac:dyDescent="0.25">
      <c r="A59" s="2" t="s">
        <v>268</v>
      </c>
      <c r="B59" s="2" t="s">
        <v>195</v>
      </c>
      <c r="C59" s="2" t="s">
        <v>269</v>
      </c>
      <c r="D59" s="3" t="s">
        <v>270</v>
      </c>
      <c r="E59" s="3" t="s">
        <v>271</v>
      </c>
      <c r="F59" s="3" t="s">
        <v>272</v>
      </c>
      <c r="G59" s="6" t="s">
        <v>77</v>
      </c>
      <c r="H59" s="2"/>
      <c r="I59" s="3"/>
      <c r="J59" s="2"/>
      <c r="K59" s="2"/>
      <c r="L59" s="2"/>
      <c r="M59" s="2"/>
    </row>
    <row r="60" spans="1:13" x14ac:dyDescent="0.25">
      <c r="A60" s="2" t="s">
        <v>273</v>
      </c>
      <c r="B60" s="2" t="s">
        <v>195</v>
      </c>
      <c r="C60" s="2" t="s">
        <v>274</v>
      </c>
      <c r="D60" s="3" t="s">
        <v>275</v>
      </c>
      <c r="E60" s="3" t="s">
        <v>276</v>
      </c>
      <c r="F60" s="3" t="s">
        <v>277</v>
      </c>
      <c r="G60" s="6" t="s">
        <v>77</v>
      </c>
      <c r="H60" s="2"/>
      <c r="I60" s="3"/>
      <c r="J60" s="2"/>
      <c r="K60" s="2"/>
      <c r="L60" s="2"/>
      <c r="M60" s="2"/>
    </row>
    <row r="61" spans="1:13" x14ac:dyDescent="0.25">
      <c r="A61" s="2" t="s">
        <v>278</v>
      </c>
      <c r="B61" s="2" t="s">
        <v>195</v>
      </c>
      <c r="C61" s="2" t="s">
        <v>279</v>
      </c>
      <c r="D61" s="3" t="s">
        <v>280</v>
      </c>
      <c r="E61" s="3" t="s">
        <v>281</v>
      </c>
      <c r="F61" s="3" t="s">
        <v>282</v>
      </c>
      <c r="G61" s="5" t="s">
        <v>31</v>
      </c>
      <c r="H61" s="2"/>
      <c r="I61" s="3"/>
      <c r="J61" s="2"/>
      <c r="K61" s="2"/>
      <c r="L61" s="2"/>
      <c r="M61" s="2"/>
    </row>
    <row r="62" spans="1:13" x14ac:dyDescent="0.25">
      <c r="A62" s="2" t="s">
        <v>283</v>
      </c>
      <c r="B62" s="2" t="s">
        <v>195</v>
      </c>
      <c r="C62" s="2" t="s">
        <v>279</v>
      </c>
      <c r="D62" s="3" t="s">
        <v>284</v>
      </c>
      <c r="E62" s="3" t="s">
        <v>285</v>
      </c>
      <c r="F62" s="3" t="s">
        <v>286</v>
      </c>
      <c r="G62" s="5" t="s">
        <v>31</v>
      </c>
      <c r="H62" s="2"/>
      <c r="I62" s="3"/>
      <c r="J62" s="2"/>
      <c r="K62" s="2"/>
      <c r="L62" s="2"/>
      <c r="M62" s="2"/>
    </row>
    <row r="63" spans="1:13" x14ac:dyDescent="0.25">
      <c r="A63" s="2" t="s">
        <v>287</v>
      </c>
      <c r="B63" s="2" t="s">
        <v>195</v>
      </c>
      <c r="C63" s="2" t="s">
        <v>279</v>
      </c>
      <c r="D63" s="3" t="s">
        <v>288</v>
      </c>
      <c r="E63" s="3" t="s">
        <v>289</v>
      </c>
      <c r="F63" s="3" t="s">
        <v>290</v>
      </c>
      <c r="G63" s="6" t="s">
        <v>77</v>
      </c>
      <c r="H63" s="2"/>
      <c r="I63" s="3"/>
      <c r="J63" s="2"/>
      <c r="K63" s="2"/>
      <c r="L63" s="2"/>
      <c r="M63" s="2"/>
    </row>
    <row r="64" spans="1:13" x14ac:dyDescent="0.25">
      <c r="A64" s="2" t="s">
        <v>291</v>
      </c>
      <c r="B64" s="2" t="s">
        <v>292</v>
      </c>
      <c r="C64" s="2" t="s">
        <v>293</v>
      </c>
      <c r="D64" s="3" t="s">
        <v>294</v>
      </c>
      <c r="E64" s="3" t="s">
        <v>295</v>
      </c>
      <c r="F64" s="3" t="s">
        <v>296</v>
      </c>
      <c r="G64" s="4" t="s">
        <v>18</v>
      </c>
      <c r="H64" s="2"/>
      <c r="I64" s="3"/>
      <c r="J64" s="2"/>
      <c r="K64" s="2"/>
      <c r="L64" s="2"/>
      <c r="M64" s="2"/>
    </row>
    <row r="65" spans="1:13" x14ac:dyDescent="0.25">
      <c r="A65" s="2" t="s">
        <v>297</v>
      </c>
      <c r="B65" s="2" t="s">
        <v>292</v>
      </c>
      <c r="C65" s="2" t="s">
        <v>298</v>
      </c>
      <c r="D65" s="3" t="s">
        <v>299</v>
      </c>
      <c r="E65" s="3" t="s">
        <v>300</v>
      </c>
      <c r="F65" s="3" t="s">
        <v>301</v>
      </c>
      <c r="G65" s="4" t="s">
        <v>18</v>
      </c>
      <c r="H65" s="2"/>
      <c r="I65" s="3"/>
      <c r="J65" s="2"/>
      <c r="K65" s="2"/>
      <c r="L65" s="2"/>
      <c r="M65" s="2"/>
    </row>
    <row r="66" spans="1:13" x14ac:dyDescent="0.25">
      <c r="A66" s="2" t="s">
        <v>302</v>
      </c>
      <c r="B66" s="2" t="s">
        <v>292</v>
      </c>
      <c r="C66" s="2" t="s">
        <v>298</v>
      </c>
      <c r="D66" s="3" t="s">
        <v>303</v>
      </c>
      <c r="E66" s="3" t="s">
        <v>304</v>
      </c>
      <c r="F66" s="3" t="s">
        <v>305</v>
      </c>
      <c r="G66" s="5" t="s">
        <v>31</v>
      </c>
      <c r="H66" s="2"/>
      <c r="I66" s="3"/>
      <c r="J66" s="2"/>
      <c r="K66" s="2"/>
      <c r="L66" s="2"/>
      <c r="M66" s="2"/>
    </row>
    <row r="67" spans="1:13" x14ac:dyDescent="0.25">
      <c r="A67" s="2" t="s">
        <v>306</v>
      </c>
      <c r="B67" s="2" t="s">
        <v>292</v>
      </c>
      <c r="C67" s="2" t="s">
        <v>298</v>
      </c>
      <c r="D67" s="3" t="s">
        <v>307</v>
      </c>
      <c r="E67" s="3" t="s">
        <v>308</v>
      </c>
      <c r="F67" s="3" t="s">
        <v>309</v>
      </c>
      <c r="G67" s="5" t="s">
        <v>31</v>
      </c>
      <c r="H67" s="2"/>
      <c r="I67" s="3"/>
      <c r="J67" s="2"/>
      <c r="K67" s="2"/>
      <c r="L67" s="2"/>
      <c r="M67" s="2"/>
    </row>
    <row r="68" spans="1:13" x14ac:dyDescent="0.25">
      <c r="A68" s="2" t="s">
        <v>310</v>
      </c>
      <c r="B68" s="2" t="s">
        <v>292</v>
      </c>
      <c r="C68" s="2" t="s">
        <v>227</v>
      </c>
      <c r="D68" s="3" t="s">
        <v>311</v>
      </c>
      <c r="E68" s="3" t="s">
        <v>312</v>
      </c>
      <c r="F68" s="3" t="s">
        <v>313</v>
      </c>
      <c r="G68" s="4" t="s">
        <v>18</v>
      </c>
      <c r="H68" s="2"/>
      <c r="I68" s="3"/>
      <c r="J68" s="2"/>
      <c r="K68" s="2"/>
      <c r="L68" s="2"/>
      <c r="M68" s="2"/>
    </row>
    <row r="69" spans="1:13" x14ac:dyDescent="0.25">
      <c r="A69" s="2" t="s">
        <v>314</v>
      </c>
      <c r="B69" s="2" t="s">
        <v>292</v>
      </c>
      <c r="C69" s="2" t="s">
        <v>218</v>
      </c>
      <c r="D69" s="3" t="s">
        <v>315</v>
      </c>
      <c r="E69" s="3" t="s">
        <v>316</v>
      </c>
      <c r="F69" s="3" t="s">
        <v>317</v>
      </c>
      <c r="G69" s="5" t="s">
        <v>31</v>
      </c>
      <c r="H69" s="2"/>
      <c r="I69" s="3"/>
      <c r="J69" s="2"/>
      <c r="K69" s="2"/>
      <c r="L69" s="2"/>
      <c r="M69" s="2"/>
    </row>
    <row r="70" spans="1:13" x14ac:dyDescent="0.25">
      <c r="A70" s="2" t="s">
        <v>318</v>
      </c>
      <c r="B70" s="2" t="s">
        <v>292</v>
      </c>
      <c r="C70" s="2" t="s">
        <v>218</v>
      </c>
      <c r="D70" s="3" t="s">
        <v>319</v>
      </c>
      <c r="E70" s="3" t="s">
        <v>320</v>
      </c>
      <c r="F70" s="3" t="s">
        <v>321</v>
      </c>
      <c r="G70" s="5" t="s">
        <v>31</v>
      </c>
      <c r="H70" s="2"/>
      <c r="I70" s="3"/>
      <c r="J70" s="2"/>
      <c r="K70" s="2"/>
      <c r="L70" s="2"/>
      <c r="M70" s="2"/>
    </row>
    <row r="71" spans="1:13" x14ac:dyDescent="0.25">
      <c r="A71" s="2" t="s">
        <v>322</v>
      </c>
      <c r="B71" s="2" t="s">
        <v>292</v>
      </c>
      <c r="C71" s="2" t="s">
        <v>323</v>
      </c>
      <c r="D71" s="3" t="s">
        <v>324</v>
      </c>
      <c r="E71" s="3" t="s">
        <v>325</v>
      </c>
      <c r="F71" s="3" t="s">
        <v>326</v>
      </c>
      <c r="G71" s="5" t="s">
        <v>31</v>
      </c>
      <c r="H71" s="2"/>
      <c r="I71" s="3"/>
      <c r="J71" s="2"/>
      <c r="K71" s="2"/>
      <c r="L71" s="2"/>
      <c r="M71" s="2"/>
    </row>
    <row r="72" spans="1:13" x14ac:dyDescent="0.25">
      <c r="A72" s="2" t="s">
        <v>327</v>
      </c>
      <c r="B72" s="2" t="s">
        <v>292</v>
      </c>
      <c r="C72" s="2" t="s">
        <v>323</v>
      </c>
      <c r="D72" s="3" t="s">
        <v>328</v>
      </c>
      <c r="E72" s="3" t="s">
        <v>329</v>
      </c>
      <c r="F72" s="3" t="s">
        <v>330</v>
      </c>
      <c r="G72" s="6" t="s">
        <v>77</v>
      </c>
      <c r="H72" s="2"/>
      <c r="I72" s="3"/>
      <c r="J72" s="2"/>
      <c r="K72" s="2"/>
      <c r="L72" s="2"/>
      <c r="M72" s="2"/>
    </row>
    <row r="73" spans="1:13" x14ac:dyDescent="0.25">
      <c r="A73" s="2" t="s">
        <v>331</v>
      </c>
      <c r="B73" s="2" t="s">
        <v>292</v>
      </c>
      <c r="C73" s="2" t="s">
        <v>332</v>
      </c>
      <c r="D73" s="3" t="s">
        <v>333</v>
      </c>
      <c r="E73" s="3" t="s">
        <v>334</v>
      </c>
      <c r="F73" s="3" t="s">
        <v>335</v>
      </c>
      <c r="G73" s="5" t="s">
        <v>31</v>
      </c>
      <c r="H73" s="2"/>
      <c r="I73" s="3"/>
      <c r="J73" s="2"/>
      <c r="K73" s="2"/>
      <c r="L73" s="2"/>
      <c r="M73" s="2"/>
    </row>
    <row r="74" spans="1:13" x14ac:dyDescent="0.25">
      <c r="A74" s="2" t="s">
        <v>336</v>
      </c>
      <c r="B74" s="2" t="s">
        <v>337</v>
      </c>
      <c r="C74" s="2" t="s">
        <v>196</v>
      </c>
      <c r="D74" s="3" t="s">
        <v>338</v>
      </c>
      <c r="E74" s="3" t="s">
        <v>339</v>
      </c>
      <c r="F74" s="3" t="s">
        <v>340</v>
      </c>
      <c r="G74" s="4" t="s">
        <v>18</v>
      </c>
      <c r="H74" s="2"/>
      <c r="I74" s="3"/>
      <c r="J74" s="2"/>
      <c r="K74" s="2"/>
      <c r="L74" s="2"/>
      <c r="M74" s="2"/>
    </row>
    <row r="75" spans="1:13" x14ac:dyDescent="0.25">
      <c r="A75" s="2" t="s">
        <v>341</v>
      </c>
      <c r="B75" s="2" t="s">
        <v>337</v>
      </c>
      <c r="C75" s="2" t="s">
        <v>196</v>
      </c>
      <c r="D75" s="3" t="s">
        <v>342</v>
      </c>
      <c r="E75" s="3" t="s">
        <v>343</v>
      </c>
      <c r="F75" s="3" t="s">
        <v>344</v>
      </c>
      <c r="G75" s="5" t="s">
        <v>31</v>
      </c>
      <c r="H75" s="2"/>
      <c r="I75" s="3"/>
      <c r="J75" s="2"/>
      <c r="K75" s="2"/>
      <c r="L75" s="2"/>
      <c r="M75" s="2"/>
    </row>
    <row r="76" spans="1:13" x14ac:dyDescent="0.25">
      <c r="A76" s="2" t="s">
        <v>345</v>
      </c>
      <c r="B76" s="2" t="s">
        <v>337</v>
      </c>
      <c r="C76" s="2" t="s">
        <v>196</v>
      </c>
      <c r="D76" s="3" t="s">
        <v>346</v>
      </c>
      <c r="E76" s="3" t="s">
        <v>347</v>
      </c>
      <c r="F76" s="3" t="s">
        <v>348</v>
      </c>
      <c r="G76" s="5" t="s">
        <v>31</v>
      </c>
      <c r="H76" s="2"/>
      <c r="I76" s="3"/>
      <c r="J76" s="2"/>
      <c r="K76" s="2"/>
      <c r="L76" s="2"/>
      <c r="M76" s="2"/>
    </row>
    <row r="77" spans="1:13" x14ac:dyDescent="0.25">
      <c r="A77" s="2" t="s">
        <v>349</v>
      </c>
      <c r="B77" s="2" t="s">
        <v>337</v>
      </c>
      <c r="C77" s="2" t="s">
        <v>196</v>
      </c>
      <c r="D77" s="3" t="s">
        <v>350</v>
      </c>
      <c r="E77" s="3" t="s">
        <v>351</v>
      </c>
      <c r="F77" s="3" t="s">
        <v>352</v>
      </c>
      <c r="G77" s="5" t="s">
        <v>31</v>
      </c>
      <c r="H77" s="2"/>
      <c r="I77" s="3"/>
      <c r="J77" s="2"/>
      <c r="K77" s="2"/>
      <c r="L77" s="2"/>
      <c r="M77" s="2"/>
    </row>
    <row r="78" spans="1:13" x14ac:dyDescent="0.25">
      <c r="A78" s="2" t="s">
        <v>353</v>
      </c>
      <c r="B78" s="2" t="s">
        <v>337</v>
      </c>
      <c r="C78" s="2" t="s">
        <v>354</v>
      </c>
      <c r="D78" s="3" t="s">
        <v>355</v>
      </c>
      <c r="E78" s="3" t="s">
        <v>356</v>
      </c>
      <c r="F78" s="3" t="s">
        <v>357</v>
      </c>
      <c r="G78" s="4" t="s">
        <v>18</v>
      </c>
      <c r="H78" s="2"/>
      <c r="I78" s="3"/>
      <c r="J78" s="2"/>
      <c r="K78" s="2"/>
      <c r="L78" s="2"/>
      <c r="M78" s="2"/>
    </row>
    <row r="79" spans="1:13" x14ac:dyDescent="0.25">
      <c r="A79" s="2" t="s">
        <v>358</v>
      </c>
      <c r="B79" s="2" t="s">
        <v>337</v>
      </c>
      <c r="C79" s="2" t="s">
        <v>359</v>
      </c>
      <c r="D79" s="3" t="s">
        <v>360</v>
      </c>
      <c r="E79" s="3" t="s">
        <v>361</v>
      </c>
      <c r="F79" s="3" t="s">
        <v>362</v>
      </c>
      <c r="G79" s="5" t="s">
        <v>31</v>
      </c>
      <c r="H79" s="2"/>
      <c r="I79" s="3"/>
      <c r="J79" s="2"/>
      <c r="K79" s="2"/>
      <c r="L79" s="2"/>
      <c r="M79" s="2"/>
    </row>
    <row r="80" spans="1:13" x14ac:dyDescent="0.25">
      <c r="A80" s="2" t="s">
        <v>363</v>
      </c>
      <c r="B80" s="2" t="s">
        <v>337</v>
      </c>
      <c r="C80" s="2" t="s">
        <v>359</v>
      </c>
      <c r="D80" s="3" t="s">
        <v>364</v>
      </c>
      <c r="E80" s="3" t="s">
        <v>365</v>
      </c>
      <c r="F80" s="3" t="s">
        <v>366</v>
      </c>
      <c r="G80" s="5" t="s">
        <v>31</v>
      </c>
      <c r="H80" s="2"/>
      <c r="I80" s="3"/>
      <c r="J80" s="2"/>
      <c r="K80" s="2"/>
      <c r="L80" s="2"/>
      <c r="M80" s="2"/>
    </row>
    <row r="81" spans="1:13" x14ac:dyDescent="0.25">
      <c r="A81" s="2" t="s">
        <v>367</v>
      </c>
      <c r="B81" s="2" t="s">
        <v>337</v>
      </c>
      <c r="C81" s="2" t="s">
        <v>359</v>
      </c>
      <c r="D81" s="3" t="s">
        <v>368</v>
      </c>
      <c r="E81" s="3" t="s">
        <v>369</v>
      </c>
      <c r="F81" s="3" t="s">
        <v>370</v>
      </c>
      <c r="G81" s="5" t="s">
        <v>31</v>
      </c>
      <c r="H81" s="2"/>
      <c r="I81" s="3"/>
      <c r="J81" s="2"/>
      <c r="K81" s="2"/>
      <c r="L81" s="2"/>
      <c r="M81" s="2"/>
    </row>
    <row r="82" spans="1:13" x14ac:dyDescent="0.25">
      <c r="A82" s="2" t="s">
        <v>371</v>
      </c>
      <c r="B82" s="2" t="s">
        <v>337</v>
      </c>
      <c r="C82" s="2" t="s">
        <v>359</v>
      </c>
      <c r="D82" s="3" t="s">
        <v>372</v>
      </c>
      <c r="E82" s="3" t="s">
        <v>373</v>
      </c>
      <c r="F82" s="3" t="s">
        <v>374</v>
      </c>
      <c r="G82" s="5" t="s">
        <v>31</v>
      </c>
      <c r="H82" s="2"/>
      <c r="I82" s="3"/>
      <c r="J82" s="2"/>
      <c r="K82" s="2"/>
      <c r="L82" s="2"/>
      <c r="M82" s="2"/>
    </row>
    <row r="83" spans="1:13" x14ac:dyDescent="0.25">
      <c r="A83" s="2" t="s">
        <v>375</v>
      </c>
      <c r="B83" s="2" t="s">
        <v>337</v>
      </c>
      <c r="C83" s="2" t="s">
        <v>359</v>
      </c>
      <c r="D83" s="3" t="s">
        <v>376</v>
      </c>
      <c r="E83" s="3" t="s">
        <v>377</v>
      </c>
      <c r="F83" s="3" t="s">
        <v>378</v>
      </c>
      <c r="G83" s="5" t="s">
        <v>31</v>
      </c>
      <c r="H83" s="2"/>
      <c r="I83" s="3"/>
      <c r="J83" s="2"/>
      <c r="K83" s="2"/>
      <c r="L83" s="2"/>
      <c r="M83" s="2"/>
    </row>
    <row r="84" spans="1:13" x14ac:dyDescent="0.25">
      <c r="A84" s="2" t="s">
        <v>379</v>
      </c>
      <c r="B84" s="2" t="s">
        <v>337</v>
      </c>
      <c r="C84" s="2" t="s">
        <v>227</v>
      </c>
      <c r="D84" s="3" t="s">
        <v>380</v>
      </c>
      <c r="E84" s="3" t="s">
        <v>381</v>
      </c>
      <c r="F84" s="3" t="s">
        <v>382</v>
      </c>
      <c r="G84" s="4" t="s">
        <v>18</v>
      </c>
      <c r="H84" s="2"/>
      <c r="I84" s="3"/>
      <c r="J84" s="2"/>
      <c r="K84" s="2"/>
      <c r="L84" s="2"/>
      <c r="M84" s="2"/>
    </row>
    <row r="85" spans="1:13" x14ac:dyDescent="0.25">
      <c r="A85" s="2" t="s">
        <v>383</v>
      </c>
      <c r="B85" s="2" t="s">
        <v>337</v>
      </c>
      <c r="C85" s="2" t="s">
        <v>227</v>
      </c>
      <c r="D85" s="3" t="s">
        <v>384</v>
      </c>
      <c r="E85" s="3" t="s">
        <v>385</v>
      </c>
      <c r="F85" s="3" t="s">
        <v>386</v>
      </c>
      <c r="G85" s="5" t="s">
        <v>31</v>
      </c>
      <c r="H85" s="2"/>
      <c r="I85" s="3"/>
      <c r="J85" s="2"/>
      <c r="K85" s="2"/>
      <c r="L85" s="2"/>
      <c r="M85" s="2"/>
    </row>
    <row r="86" spans="1:13" x14ac:dyDescent="0.25">
      <c r="A86" s="2" t="s">
        <v>387</v>
      </c>
      <c r="B86" s="2" t="s">
        <v>337</v>
      </c>
      <c r="C86" s="2" t="s">
        <v>227</v>
      </c>
      <c r="D86" s="3" t="s">
        <v>388</v>
      </c>
      <c r="E86" s="3" t="s">
        <v>389</v>
      </c>
      <c r="F86" s="3" t="s">
        <v>390</v>
      </c>
      <c r="G86" s="5" t="s">
        <v>31</v>
      </c>
      <c r="H86" s="2"/>
      <c r="I86" s="3"/>
      <c r="J86" s="2"/>
      <c r="K86" s="2"/>
      <c r="L86" s="2"/>
      <c r="M86" s="2"/>
    </row>
    <row r="87" spans="1:13" x14ac:dyDescent="0.25">
      <c r="A87" s="2" t="s">
        <v>391</v>
      </c>
      <c r="B87" s="2" t="s">
        <v>337</v>
      </c>
      <c r="C87" s="2" t="s">
        <v>227</v>
      </c>
      <c r="D87" s="3" t="s">
        <v>392</v>
      </c>
      <c r="E87" s="3" t="s">
        <v>393</v>
      </c>
      <c r="F87" s="3" t="s">
        <v>394</v>
      </c>
      <c r="G87" s="5" t="s">
        <v>31</v>
      </c>
      <c r="H87" s="2"/>
      <c r="I87" s="3"/>
      <c r="J87" s="2"/>
      <c r="K87" s="2"/>
      <c r="L87" s="2"/>
      <c r="M87" s="2"/>
    </row>
    <row r="88" spans="1:13" x14ac:dyDescent="0.25">
      <c r="A88" s="2" t="s">
        <v>395</v>
      </c>
      <c r="B88" s="2" t="s">
        <v>337</v>
      </c>
      <c r="C88" s="2" t="s">
        <v>227</v>
      </c>
      <c r="D88" s="3" t="s">
        <v>396</v>
      </c>
      <c r="E88" s="3" t="s">
        <v>397</v>
      </c>
      <c r="F88" s="3" t="s">
        <v>398</v>
      </c>
      <c r="G88" s="5" t="s">
        <v>31</v>
      </c>
      <c r="H88" s="2"/>
      <c r="I88" s="3"/>
      <c r="J88" s="2"/>
      <c r="K88" s="2"/>
      <c r="L88" s="2"/>
      <c r="M88" s="2"/>
    </row>
    <row r="89" spans="1:13" x14ac:dyDescent="0.25">
      <c r="A89" s="2" t="s">
        <v>399</v>
      </c>
      <c r="B89" s="2" t="s">
        <v>337</v>
      </c>
      <c r="C89" s="2" t="s">
        <v>227</v>
      </c>
      <c r="D89" s="3" t="s">
        <v>400</v>
      </c>
      <c r="E89" s="3" t="s">
        <v>401</v>
      </c>
      <c r="F89" s="3" t="s">
        <v>402</v>
      </c>
      <c r="G89" s="5" t="s">
        <v>31</v>
      </c>
      <c r="H89" s="2"/>
      <c r="I89" s="3"/>
      <c r="J89" s="2"/>
      <c r="K89" s="2"/>
      <c r="L89" s="2"/>
      <c r="M89" s="2"/>
    </row>
    <row r="90" spans="1:13" x14ac:dyDescent="0.25">
      <c r="A90" s="2" t="s">
        <v>403</v>
      </c>
      <c r="B90" s="2" t="s">
        <v>337</v>
      </c>
      <c r="C90" s="2" t="s">
        <v>227</v>
      </c>
      <c r="D90" s="3" t="s">
        <v>404</v>
      </c>
      <c r="E90" s="3" t="s">
        <v>405</v>
      </c>
      <c r="F90" s="3" t="s">
        <v>406</v>
      </c>
      <c r="G90" s="6" t="s">
        <v>77</v>
      </c>
      <c r="H90" s="2"/>
      <c r="I90" s="3"/>
      <c r="J90" s="2"/>
      <c r="K90" s="2"/>
      <c r="L90" s="2"/>
      <c r="M90" s="2"/>
    </row>
    <row r="91" spans="1:13" x14ac:dyDescent="0.25">
      <c r="A91" s="2" t="s">
        <v>407</v>
      </c>
      <c r="B91" s="2" t="s">
        <v>337</v>
      </c>
      <c r="C91" s="2" t="s">
        <v>227</v>
      </c>
      <c r="D91" s="3" t="s">
        <v>408</v>
      </c>
      <c r="E91" s="3" t="s">
        <v>409</v>
      </c>
      <c r="F91" s="3" t="s">
        <v>410</v>
      </c>
      <c r="G91" s="6" t="s">
        <v>77</v>
      </c>
      <c r="H91" s="2"/>
      <c r="I91" s="3"/>
      <c r="J91" s="2"/>
      <c r="K91" s="2"/>
      <c r="L91" s="2"/>
      <c r="M91" s="2"/>
    </row>
    <row r="92" spans="1:13" x14ac:dyDescent="0.25">
      <c r="A92" s="2" t="s">
        <v>411</v>
      </c>
      <c r="B92" s="2" t="s">
        <v>337</v>
      </c>
      <c r="C92" s="2" t="s">
        <v>412</v>
      </c>
      <c r="D92" s="3" t="s">
        <v>413</v>
      </c>
      <c r="E92" s="3" t="s">
        <v>414</v>
      </c>
      <c r="F92" s="3" t="s">
        <v>415</v>
      </c>
      <c r="G92" s="5" t="s">
        <v>31</v>
      </c>
      <c r="H92" s="2"/>
      <c r="I92" s="3"/>
      <c r="J92" s="2"/>
      <c r="K92" s="2"/>
      <c r="L92" s="2"/>
      <c r="M92" s="2"/>
    </row>
    <row r="93" spans="1:13" x14ac:dyDescent="0.25">
      <c r="A93" s="2" t="s">
        <v>416</v>
      </c>
      <c r="B93" s="2" t="s">
        <v>337</v>
      </c>
      <c r="C93" s="2" t="s">
        <v>417</v>
      </c>
      <c r="D93" s="3" t="s">
        <v>418</v>
      </c>
      <c r="E93" s="3" t="s">
        <v>419</v>
      </c>
      <c r="F93" s="3" t="s">
        <v>420</v>
      </c>
      <c r="G93" s="5" t="s">
        <v>31</v>
      </c>
      <c r="H93" s="2"/>
      <c r="I93" s="3"/>
      <c r="J93" s="2"/>
      <c r="K93" s="2"/>
      <c r="L93" s="2"/>
      <c r="M93" s="2"/>
    </row>
    <row r="94" spans="1:13" x14ac:dyDescent="0.25">
      <c r="A94" s="2" t="s">
        <v>421</v>
      </c>
      <c r="B94" s="2" t="s">
        <v>337</v>
      </c>
      <c r="C94" s="2" t="s">
        <v>417</v>
      </c>
      <c r="D94" s="3" t="s">
        <v>422</v>
      </c>
      <c r="E94" s="3" t="s">
        <v>423</v>
      </c>
      <c r="F94" s="3" t="s">
        <v>424</v>
      </c>
      <c r="G94" s="5" t="s">
        <v>31</v>
      </c>
      <c r="H94" s="2"/>
      <c r="I94" s="3"/>
      <c r="J94" s="2"/>
      <c r="K94" s="2"/>
      <c r="L94" s="2"/>
      <c r="M94" s="2"/>
    </row>
    <row r="95" spans="1:13" x14ac:dyDescent="0.25">
      <c r="A95" s="2" t="s">
        <v>425</v>
      </c>
      <c r="B95" s="2" t="s">
        <v>337</v>
      </c>
      <c r="C95" s="2" t="s">
        <v>426</v>
      </c>
      <c r="D95" s="3" t="s">
        <v>427</v>
      </c>
      <c r="E95" s="3" t="s">
        <v>428</v>
      </c>
      <c r="F95" s="3" t="s">
        <v>429</v>
      </c>
      <c r="G95" s="5" t="s">
        <v>31</v>
      </c>
      <c r="H95" s="2"/>
      <c r="I95" s="3"/>
      <c r="J95" s="2"/>
      <c r="K95" s="2"/>
      <c r="L95" s="2"/>
      <c r="M95" s="2"/>
    </row>
    <row r="96" spans="1:13" x14ac:dyDescent="0.25">
      <c r="A96" s="2" t="s">
        <v>430</v>
      </c>
      <c r="B96" s="2" t="s">
        <v>337</v>
      </c>
      <c r="C96" s="2" t="s">
        <v>431</v>
      </c>
      <c r="D96" s="3" t="s">
        <v>432</v>
      </c>
      <c r="E96" s="3" t="s">
        <v>433</v>
      </c>
      <c r="F96" s="3" t="s">
        <v>434</v>
      </c>
      <c r="G96" s="5" t="s">
        <v>31</v>
      </c>
      <c r="H96" s="2"/>
      <c r="I96" s="3"/>
      <c r="J96" s="2"/>
      <c r="K96" s="2"/>
      <c r="L96" s="2"/>
      <c r="M96" s="2"/>
    </row>
    <row r="97" spans="1:13" x14ac:dyDescent="0.25">
      <c r="A97" s="2" t="s">
        <v>435</v>
      </c>
      <c r="B97" s="2" t="s">
        <v>436</v>
      </c>
      <c r="C97" s="2" t="s">
        <v>437</v>
      </c>
      <c r="D97" s="3" t="s">
        <v>438</v>
      </c>
      <c r="E97" s="3" t="s">
        <v>439</v>
      </c>
      <c r="F97" s="3" t="s">
        <v>440</v>
      </c>
      <c r="G97" s="4" t="s">
        <v>18</v>
      </c>
      <c r="H97" s="2"/>
      <c r="I97" s="3"/>
      <c r="J97" s="2"/>
      <c r="K97" s="2"/>
      <c r="L97" s="2"/>
      <c r="M97" s="2"/>
    </row>
    <row r="98" spans="1:13" x14ac:dyDescent="0.25">
      <c r="A98" s="2" t="s">
        <v>441</v>
      </c>
      <c r="B98" s="2" t="s">
        <v>436</v>
      </c>
      <c r="C98" s="2" t="s">
        <v>442</v>
      </c>
      <c r="D98" s="3" t="s">
        <v>443</v>
      </c>
      <c r="E98" s="3" t="s">
        <v>444</v>
      </c>
      <c r="F98" s="3" t="s">
        <v>445</v>
      </c>
      <c r="G98" s="4" t="s">
        <v>18</v>
      </c>
      <c r="H98" s="2"/>
      <c r="I98" s="3"/>
      <c r="J98" s="2"/>
      <c r="K98" s="2"/>
      <c r="L98" s="2"/>
      <c r="M98" s="2"/>
    </row>
    <row r="99" spans="1:13" x14ac:dyDescent="0.25">
      <c r="A99" s="2" t="s">
        <v>446</v>
      </c>
      <c r="B99" s="2" t="s">
        <v>436</v>
      </c>
      <c r="C99" s="2" t="s">
        <v>447</v>
      </c>
      <c r="D99" s="3" t="s">
        <v>448</v>
      </c>
      <c r="E99" s="3" t="s">
        <v>449</v>
      </c>
      <c r="F99" s="3" t="s">
        <v>450</v>
      </c>
      <c r="G99" s="4" t="s">
        <v>18</v>
      </c>
      <c r="H99" s="2"/>
      <c r="I99" s="3"/>
      <c r="J99" s="2"/>
      <c r="K99" s="2"/>
      <c r="L99" s="2"/>
      <c r="M99" s="2"/>
    </row>
    <row r="100" spans="1:13" x14ac:dyDescent="0.25">
      <c r="A100" s="2" t="s">
        <v>451</v>
      </c>
      <c r="B100" s="2" t="s">
        <v>436</v>
      </c>
      <c r="C100" s="2" t="s">
        <v>447</v>
      </c>
      <c r="D100" s="3" t="s">
        <v>452</v>
      </c>
      <c r="E100" s="3" t="s">
        <v>453</v>
      </c>
      <c r="F100" s="3" t="s">
        <v>454</v>
      </c>
      <c r="G100" s="5" t="s">
        <v>31</v>
      </c>
      <c r="H100" s="2"/>
      <c r="I100" s="3"/>
      <c r="J100" s="2"/>
      <c r="K100" s="2"/>
      <c r="L100" s="2"/>
      <c r="M100" s="2"/>
    </row>
    <row r="101" spans="1:13" x14ac:dyDescent="0.25">
      <c r="A101" s="2" t="s">
        <v>455</v>
      </c>
      <c r="B101" s="2" t="s">
        <v>436</v>
      </c>
      <c r="C101" s="2" t="s">
        <v>456</v>
      </c>
      <c r="D101" s="3" t="s">
        <v>457</v>
      </c>
      <c r="E101" s="3" t="s">
        <v>458</v>
      </c>
      <c r="F101" s="3" t="s">
        <v>459</v>
      </c>
      <c r="G101" s="5" t="s">
        <v>31</v>
      </c>
      <c r="H101" s="2"/>
      <c r="I101" s="3"/>
      <c r="J101" s="2"/>
      <c r="K101" s="2"/>
      <c r="L101" s="2"/>
      <c r="M101" s="2"/>
    </row>
    <row r="102" spans="1:13" x14ac:dyDescent="0.25">
      <c r="A102" s="2" t="s">
        <v>460</v>
      </c>
      <c r="B102" s="2" t="s">
        <v>436</v>
      </c>
      <c r="C102" s="2" t="s">
        <v>461</v>
      </c>
      <c r="D102" s="3" t="s">
        <v>462</v>
      </c>
      <c r="E102" s="3" t="s">
        <v>463</v>
      </c>
      <c r="F102" s="3" t="s">
        <v>464</v>
      </c>
      <c r="G102" s="5" t="s">
        <v>31</v>
      </c>
      <c r="H102" s="2"/>
      <c r="I102" s="3"/>
      <c r="J102" s="2"/>
      <c r="K102" s="2"/>
      <c r="L102" s="2"/>
      <c r="M102" s="2"/>
    </row>
    <row r="103" spans="1:13" x14ac:dyDescent="0.25">
      <c r="A103" s="2" t="s">
        <v>465</v>
      </c>
      <c r="B103" s="2" t="s">
        <v>436</v>
      </c>
      <c r="C103" s="2" t="s">
        <v>437</v>
      </c>
      <c r="D103" s="3" t="s">
        <v>466</v>
      </c>
      <c r="E103" s="3" t="s">
        <v>467</v>
      </c>
      <c r="F103" s="3" t="s">
        <v>468</v>
      </c>
      <c r="G103" s="4" t="s">
        <v>18</v>
      </c>
      <c r="H103" s="2"/>
      <c r="I103" s="3"/>
      <c r="J103" s="2"/>
      <c r="K103" s="2"/>
      <c r="L103" s="2"/>
      <c r="M103" s="2"/>
    </row>
    <row r="104" spans="1:13" x14ac:dyDescent="0.25">
      <c r="A104" s="2" t="s">
        <v>469</v>
      </c>
      <c r="B104" s="2" t="s">
        <v>436</v>
      </c>
      <c r="C104" s="2" t="s">
        <v>437</v>
      </c>
      <c r="D104" s="3" t="s">
        <v>470</v>
      </c>
      <c r="E104" s="3" t="s">
        <v>471</v>
      </c>
      <c r="F104" s="3" t="s">
        <v>472</v>
      </c>
      <c r="G104" s="5" t="s">
        <v>31</v>
      </c>
      <c r="H104" s="2"/>
      <c r="I104" s="3"/>
      <c r="J104" s="2"/>
      <c r="K104" s="2"/>
      <c r="L104" s="2"/>
      <c r="M104" s="2"/>
    </row>
    <row r="105" spans="1:13" x14ac:dyDescent="0.25">
      <c r="A105" s="2" t="s">
        <v>473</v>
      </c>
      <c r="B105" s="2" t="s">
        <v>436</v>
      </c>
      <c r="C105" s="2" t="s">
        <v>437</v>
      </c>
      <c r="D105" s="3" t="s">
        <v>474</v>
      </c>
      <c r="E105" s="3" t="s">
        <v>475</v>
      </c>
      <c r="F105" s="3" t="s">
        <v>476</v>
      </c>
      <c r="G105" s="5" t="s">
        <v>31</v>
      </c>
      <c r="H105" s="2"/>
      <c r="I105" s="3"/>
      <c r="J105" s="2"/>
      <c r="K105" s="2"/>
      <c r="L105" s="2"/>
      <c r="M105" s="2"/>
    </row>
    <row r="106" spans="1:13" x14ac:dyDescent="0.25">
      <c r="A106" s="2" t="s">
        <v>477</v>
      </c>
      <c r="B106" s="2" t="s">
        <v>436</v>
      </c>
      <c r="C106" s="2" t="s">
        <v>437</v>
      </c>
      <c r="D106" s="3" t="s">
        <v>478</v>
      </c>
      <c r="E106" s="3" t="s">
        <v>479</v>
      </c>
      <c r="F106" s="3" t="s">
        <v>480</v>
      </c>
      <c r="G106" s="6" t="s">
        <v>77</v>
      </c>
      <c r="H106" s="2"/>
      <c r="I106" s="3"/>
      <c r="J106" s="2"/>
      <c r="K106" s="2"/>
      <c r="L106" s="2"/>
      <c r="M106" s="2"/>
    </row>
    <row r="107" spans="1:13" x14ac:dyDescent="0.25">
      <c r="A107" s="2" t="s">
        <v>481</v>
      </c>
      <c r="B107" s="2" t="s">
        <v>436</v>
      </c>
      <c r="C107" s="2" t="s">
        <v>437</v>
      </c>
      <c r="D107" s="3" t="s">
        <v>482</v>
      </c>
      <c r="E107" s="3" t="s">
        <v>483</v>
      </c>
      <c r="F107" s="3" t="s">
        <v>484</v>
      </c>
      <c r="G107" s="5" t="s">
        <v>31</v>
      </c>
      <c r="H107" s="2"/>
      <c r="I107" s="3"/>
      <c r="J107" s="2"/>
      <c r="K107" s="2"/>
      <c r="L107" s="2"/>
      <c r="M107" s="2"/>
    </row>
    <row r="108" spans="1:13" x14ac:dyDescent="0.25">
      <c r="A108" s="2" t="s">
        <v>485</v>
      </c>
      <c r="B108" s="2" t="s">
        <v>436</v>
      </c>
      <c r="C108" s="2" t="s">
        <v>437</v>
      </c>
      <c r="D108" s="3" t="s">
        <v>486</v>
      </c>
      <c r="E108" s="3" t="s">
        <v>487</v>
      </c>
      <c r="F108" s="3" t="s">
        <v>488</v>
      </c>
      <c r="G108" s="6" t="s">
        <v>77</v>
      </c>
      <c r="H108" s="2"/>
      <c r="I108" s="3"/>
      <c r="J108" s="2"/>
      <c r="K108" s="2"/>
      <c r="L108" s="2"/>
      <c r="M108" s="2"/>
    </row>
    <row r="109" spans="1:13" x14ac:dyDescent="0.25">
      <c r="A109" s="2" t="s">
        <v>489</v>
      </c>
      <c r="B109" s="2" t="s">
        <v>436</v>
      </c>
      <c r="C109" s="2" t="s">
        <v>437</v>
      </c>
      <c r="D109" s="3" t="s">
        <v>490</v>
      </c>
      <c r="E109" s="3" t="s">
        <v>491</v>
      </c>
      <c r="F109" s="3" t="s">
        <v>484</v>
      </c>
      <c r="G109" s="6" t="s">
        <v>77</v>
      </c>
      <c r="H109" s="2"/>
      <c r="I109" s="3"/>
      <c r="J109" s="2"/>
      <c r="K109" s="2"/>
      <c r="L109" s="2"/>
      <c r="M109" s="2"/>
    </row>
    <row r="110" spans="1:13" x14ac:dyDescent="0.25">
      <c r="A110" s="2" t="s">
        <v>492</v>
      </c>
      <c r="B110" s="2" t="s">
        <v>436</v>
      </c>
      <c r="C110" s="2" t="s">
        <v>493</v>
      </c>
      <c r="D110" s="3" t="s">
        <v>494</v>
      </c>
      <c r="E110" s="3" t="s">
        <v>495</v>
      </c>
      <c r="F110" s="3" t="s">
        <v>496</v>
      </c>
      <c r="G110" s="6" t="s">
        <v>77</v>
      </c>
      <c r="H110" s="2"/>
      <c r="I110" s="3"/>
      <c r="J110" s="2"/>
      <c r="K110" s="2"/>
      <c r="L110" s="2"/>
      <c r="M110" s="2"/>
    </row>
    <row r="111" spans="1:13" x14ac:dyDescent="0.25">
      <c r="A111" s="2" t="s">
        <v>497</v>
      </c>
      <c r="B111" s="2" t="s">
        <v>436</v>
      </c>
      <c r="C111" s="2" t="s">
        <v>493</v>
      </c>
      <c r="D111" s="3" t="s">
        <v>498</v>
      </c>
      <c r="E111" s="3" t="s">
        <v>499</v>
      </c>
      <c r="F111" s="3" t="s">
        <v>500</v>
      </c>
      <c r="G111" s="6" t="s">
        <v>77</v>
      </c>
      <c r="H111" s="2"/>
      <c r="I111" s="3"/>
      <c r="J111" s="2"/>
      <c r="K111" s="2"/>
      <c r="L111" s="2"/>
      <c r="M111" s="2"/>
    </row>
    <row r="112" spans="1:13" x14ac:dyDescent="0.25">
      <c r="A112" s="2" t="s">
        <v>501</v>
      </c>
      <c r="B112" s="2" t="s">
        <v>436</v>
      </c>
      <c r="C112" s="2" t="s">
        <v>493</v>
      </c>
      <c r="D112" s="3" t="s">
        <v>502</v>
      </c>
      <c r="E112" s="3" t="s">
        <v>503</v>
      </c>
      <c r="F112" s="3" t="s">
        <v>504</v>
      </c>
      <c r="G112" s="6" t="s">
        <v>77</v>
      </c>
      <c r="H112" s="2"/>
      <c r="I112" s="3"/>
      <c r="J112" s="2"/>
      <c r="K112" s="2"/>
      <c r="L112" s="2"/>
      <c r="M112" s="2"/>
    </row>
    <row r="113" spans="1:13" x14ac:dyDescent="0.25">
      <c r="A113" s="2" t="s">
        <v>505</v>
      </c>
      <c r="B113" s="2" t="s">
        <v>436</v>
      </c>
      <c r="C113" s="2" t="s">
        <v>506</v>
      </c>
      <c r="D113" s="3" t="s">
        <v>507</v>
      </c>
      <c r="E113" s="3" t="s">
        <v>508</v>
      </c>
      <c r="F113" s="3" t="s">
        <v>509</v>
      </c>
      <c r="G113" s="5" t="s">
        <v>31</v>
      </c>
      <c r="H113" s="2"/>
      <c r="I113" s="3"/>
      <c r="J113" s="2"/>
      <c r="K113" s="2"/>
      <c r="L113" s="2"/>
      <c r="M113" s="2"/>
    </row>
    <row r="114" spans="1:13" x14ac:dyDescent="0.25">
      <c r="A114" s="2" t="s">
        <v>510</v>
      </c>
      <c r="B114" s="2" t="s">
        <v>436</v>
      </c>
      <c r="C114" s="2" t="s">
        <v>506</v>
      </c>
      <c r="D114" s="3" t="s">
        <v>511</v>
      </c>
      <c r="E114" s="3" t="s">
        <v>512</v>
      </c>
      <c r="F114" s="3" t="s">
        <v>488</v>
      </c>
      <c r="G114" s="5" t="s">
        <v>31</v>
      </c>
      <c r="H114" s="2"/>
      <c r="I114" s="3"/>
      <c r="J114" s="2"/>
      <c r="K114" s="2"/>
      <c r="L114" s="2"/>
      <c r="M114" s="2"/>
    </row>
    <row r="115" spans="1:13" x14ac:dyDescent="0.25">
      <c r="A115" s="2" t="s">
        <v>513</v>
      </c>
      <c r="B115" s="2" t="s">
        <v>436</v>
      </c>
      <c r="C115" s="2" t="s">
        <v>506</v>
      </c>
      <c r="D115" s="3" t="s">
        <v>514</v>
      </c>
      <c r="E115" s="3" t="s">
        <v>515</v>
      </c>
      <c r="F115" s="3" t="s">
        <v>516</v>
      </c>
      <c r="G115" s="5" t="s">
        <v>31</v>
      </c>
      <c r="H115" s="2"/>
      <c r="I115" s="3"/>
      <c r="J115" s="2"/>
      <c r="K115" s="2"/>
      <c r="L115" s="2"/>
      <c r="M115" s="2"/>
    </row>
    <row r="116" spans="1:13" x14ac:dyDescent="0.25">
      <c r="A116" s="2" t="s">
        <v>517</v>
      </c>
      <c r="B116" s="2" t="s">
        <v>436</v>
      </c>
      <c r="C116" s="2" t="s">
        <v>147</v>
      </c>
      <c r="D116" s="3" t="s">
        <v>518</v>
      </c>
      <c r="E116" s="3" t="s">
        <v>519</v>
      </c>
      <c r="F116" s="3" t="s">
        <v>520</v>
      </c>
      <c r="G116" s="6" t="s">
        <v>77</v>
      </c>
      <c r="H116" s="2"/>
      <c r="I116" s="3"/>
      <c r="J116" s="2"/>
      <c r="K116" s="2"/>
      <c r="L116" s="2"/>
      <c r="M116" s="2"/>
    </row>
    <row r="117" spans="1:13" x14ac:dyDescent="0.25">
      <c r="A117" s="2" t="s">
        <v>521</v>
      </c>
      <c r="B117" s="2" t="s">
        <v>436</v>
      </c>
      <c r="C117" s="2" t="s">
        <v>147</v>
      </c>
      <c r="D117" s="3" t="s">
        <v>522</v>
      </c>
      <c r="E117" s="3" t="s">
        <v>523</v>
      </c>
      <c r="F117" s="3" t="s">
        <v>524</v>
      </c>
      <c r="G117" s="5" t="s">
        <v>31</v>
      </c>
      <c r="H117" s="2"/>
      <c r="I117" s="3"/>
      <c r="J117" s="2"/>
      <c r="K117" s="2"/>
      <c r="L117" s="2"/>
      <c r="M117" s="2"/>
    </row>
    <row r="118" spans="1:13" x14ac:dyDescent="0.25">
      <c r="A118" s="2" t="s">
        <v>525</v>
      </c>
      <c r="B118" s="2" t="s">
        <v>436</v>
      </c>
      <c r="C118" s="2" t="s">
        <v>332</v>
      </c>
      <c r="D118" s="3" t="s">
        <v>526</v>
      </c>
      <c r="E118" s="3" t="s">
        <v>527</v>
      </c>
      <c r="F118" s="3" t="s">
        <v>528</v>
      </c>
      <c r="G118" s="5" t="s">
        <v>31</v>
      </c>
      <c r="H118" s="2"/>
      <c r="I118" s="3"/>
      <c r="J118" s="2"/>
      <c r="K118" s="2"/>
      <c r="L118" s="2"/>
      <c r="M118" s="2"/>
    </row>
    <row r="119" spans="1:13" x14ac:dyDescent="0.25">
      <c r="A119" s="2" t="s">
        <v>529</v>
      </c>
      <c r="B119" s="2" t="s">
        <v>530</v>
      </c>
      <c r="C119" s="2" t="s">
        <v>531</v>
      </c>
      <c r="D119" s="3" t="s">
        <v>532</v>
      </c>
      <c r="E119" s="3" t="s">
        <v>533</v>
      </c>
      <c r="F119" s="3" t="s">
        <v>534</v>
      </c>
      <c r="G119" s="5" t="s">
        <v>31</v>
      </c>
      <c r="H119" s="2"/>
      <c r="I119" s="3"/>
      <c r="J119" s="2"/>
      <c r="K119" s="2"/>
      <c r="L119" s="2"/>
      <c r="M119" s="2"/>
    </row>
    <row r="120" spans="1:13" x14ac:dyDescent="0.25">
      <c r="A120" s="2" t="s">
        <v>535</v>
      </c>
      <c r="B120" s="2" t="s">
        <v>530</v>
      </c>
      <c r="C120" s="2" t="s">
        <v>531</v>
      </c>
      <c r="D120" s="3" t="s">
        <v>536</v>
      </c>
      <c r="E120" s="3" t="s">
        <v>537</v>
      </c>
      <c r="F120" s="3" t="s">
        <v>538</v>
      </c>
      <c r="G120" s="5" t="s">
        <v>31</v>
      </c>
      <c r="H120" s="2"/>
      <c r="I120" s="3"/>
      <c r="J120" s="2"/>
      <c r="K120" s="2"/>
      <c r="L120" s="2"/>
      <c r="M120" s="2"/>
    </row>
    <row r="121" spans="1:13" x14ac:dyDescent="0.25">
      <c r="A121" s="2" t="s">
        <v>539</v>
      </c>
      <c r="B121" s="2" t="s">
        <v>530</v>
      </c>
      <c r="C121" s="2" t="s">
        <v>531</v>
      </c>
      <c r="D121" s="3" t="s">
        <v>540</v>
      </c>
      <c r="E121" s="3" t="s">
        <v>541</v>
      </c>
      <c r="F121" s="3" t="s">
        <v>542</v>
      </c>
      <c r="G121" s="5" t="s">
        <v>31</v>
      </c>
      <c r="H121" s="2"/>
      <c r="I121" s="3"/>
      <c r="J121" s="2"/>
      <c r="K121" s="2"/>
      <c r="L121" s="2"/>
      <c r="M121" s="2"/>
    </row>
    <row r="122" spans="1:13" x14ac:dyDescent="0.25">
      <c r="A122" s="2" t="s">
        <v>543</v>
      </c>
      <c r="B122" s="2" t="s">
        <v>530</v>
      </c>
      <c r="C122" s="2" t="s">
        <v>531</v>
      </c>
      <c r="D122" s="3" t="s">
        <v>544</v>
      </c>
      <c r="E122" s="3" t="s">
        <v>545</v>
      </c>
      <c r="F122" s="3" t="s">
        <v>546</v>
      </c>
      <c r="G122" s="6" t="s">
        <v>77</v>
      </c>
      <c r="H122" s="2"/>
      <c r="I122" s="3"/>
      <c r="J122" s="2"/>
      <c r="K122" s="2"/>
      <c r="L122" s="2"/>
      <c r="M122" s="2"/>
    </row>
    <row r="123" spans="1:13" x14ac:dyDescent="0.25">
      <c r="A123" s="2" t="s">
        <v>547</v>
      </c>
      <c r="B123" s="2" t="s">
        <v>530</v>
      </c>
      <c r="C123" s="2" t="s">
        <v>531</v>
      </c>
      <c r="D123" s="3" t="s">
        <v>548</v>
      </c>
      <c r="E123" s="3" t="s">
        <v>549</v>
      </c>
      <c r="F123" s="3" t="s">
        <v>550</v>
      </c>
      <c r="G123" s="5" t="s">
        <v>31</v>
      </c>
      <c r="H123" s="2"/>
      <c r="I123" s="3"/>
      <c r="J123" s="2"/>
      <c r="K123" s="2"/>
      <c r="L123" s="2"/>
      <c r="M123" s="2"/>
    </row>
    <row r="124" spans="1:13" x14ac:dyDescent="0.25">
      <c r="A124" s="2" t="s">
        <v>551</v>
      </c>
      <c r="B124" s="2" t="s">
        <v>530</v>
      </c>
      <c r="C124" s="2" t="s">
        <v>531</v>
      </c>
      <c r="D124" s="3" t="s">
        <v>552</v>
      </c>
      <c r="E124" s="3" t="s">
        <v>553</v>
      </c>
      <c r="F124" s="3" t="s">
        <v>554</v>
      </c>
      <c r="G124" s="6" t="s">
        <v>77</v>
      </c>
      <c r="H124" s="2"/>
      <c r="I124" s="3"/>
      <c r="J124" s="2"/>
      <c r="K124" s="2"/>
      <c r="L124" s="2"/>
      <c r="M124" s="2"/>
    </row>
    <row r="125" spans="1:13" x14ac:dyDescent="0.25">
      <c r="A125" s="2" t="s">
        <v>555</v>
      </c>
      <c r="B125" s="2" t="s">
        <v>530</v>
      </c>
      <c r="C125" s="2" t="s">
        <v>556</v>
      </c>
      <c r="D125" s="3" t="s">
        <v>557</v>
      </c>
      <c r="E125" s="3" t="s">
        <v>558</v>
      </c>
      <c r="F125" s="3" t="s">
        <v>559</v>
      </c>
      <c r="G125" s="6" t="s">
        <v>77</v>
      </c>
      <c r="H125" s="2"/>
      <c r="I125" s="3"/>
      <c r="J125" s="2"/>
      <c r="K125" s="2"/>
      <c r="L125" s="2"/>
      <c r="M125" s="2"/>
    </row>
    <row r="126" spans="1:13" x14ac:dyDescent="0.25">
      <c r="A126" s="2" t="s">
        <v>560</v>
      </c>
      <c r="B126" s="2" t="s">
        <v>530</v>
      </c>
      <c r="C126" s="2" t="s">
        <v>556</v>
      </c>
      <c r="D126" s="3" t="s">
        <v>561</v>
      </c>
      <c r="E126" s="3" t="s">
        <v>562</v>
      </c>
      <c r="F126" s="3" t="s">
        <v>563</v>
      </c>
      <c r="G126" s="6" t="s">
        <v>77</v>
      </c>
      <c r="H126" s="2"/>
      <c r="I126" s="3"/>
      <c r="J126" s="2"/>
      <c r="K126" s="2"/>
      <c r="L126" s="2"/>
      <c r="M126" s="2"/>
    </row>
    <row r="127" spans="1:13" x14ac:dyDescent="0.25">
      <c r="A127" s="2" t="s">
        <v>564</v>
      </c>
      <c r="B127" s="2" t="s">
        <v>565</v>
      </c>
      <c r="C127" s="2" t="s">
        <v>293</v>
      </c>
      <c r="D127" s="3" t="s">
        <v>566</v>
      </c>
      <c r="E127" s="3" t="s">
        <v>567</v>
      </c>
      <c r="F127" s="3" t="s">
        <v>568</v>
      </c>
      <c r="G127" s="4" t="s">
        <v>18</v>
      </c>
      <c r="H127" s="2"/>
      <c r="I127" s="3"/>
      <c r="J127" s="2"/>
      <c r="K127" s="2"/>
      <c r="L127" s="2"/>
      <c r="M127" s="2"/>
    </row>
    <row r="128" spans="1:13" x14ac:dyDescent="0.25">
      <c r="A128" s="2" t="s">
        <v>569</v>
      </c>
      <c r="B128" s="2" t="s">
        <v>565</v>
      </c>
      <c r="C128" s="2" t="s">
        <v>227</v>
      </c>
      <c r="D128" s="3" t="s">
        <v>570</v>
      </c>
      <c r="E128" s="3" t="s">
        <v>571</v>
      </c>
      <c r="F128" s="3" t="s">
        <v>572</v>
      </c>
      <c r="G128" s="5" t="s">
        <v>31</v>
      </c>
      <c r="H128" s="2"/>
      <c r="I128" s="3"/>
      <c r="J128" s="2"/>
      <c r="K128" s="2"/>
      <c r="L128" s="2"/>
      <c r="M128" s="2"/>
    </row>
    <row r="129" spans="1:13" x14ac:dyDescent="0.25">
      <c r="A129" s="2" t="s">
        <v>573</v>
      </c>
      <c r="B129" s="2" t="s">
        <v>565</v>
      </c>
      <c r="C129" s="2" t="s">
        <v>574</v>
      </c>
      <c r="D129" s="3" t="s">
        <v>575</v>
      </c>
      <c r="E129" s="3" t="s">
        <v>316</v>
      </c>
      <c r="F129" s="3" t="s">
        <v>576</v>
      </c>
      <c r="G129" s="5" t="s">
        <v>31</v>
      </c>
      <c r="H129" s="2"/>
      <c r="I129" s="3"/>
      <c r="J129" s="2"/>
      <c r="K129" s="2"/>
      <c r="L129" s="2"/>
      <c r="M129" s="2"/>
    </row>
    <row r="130" spans="1:13" x14ac:dyDescent="0.25">
      <c r="A130" s="2" t="s">
        <v>577</v>
      </c>
      <c r="B130" s="2" t="s">
        <v>565</v>
      </c>
      <c r="C130" s="2" t="s">
        <v>578</v>
      </c>
      <c r="D130" s="3" t="s">
        <v>579</v>
      </c>
      <c r="E130" s="3" t="s">
        <v>580</v>
      </c>
      <c r="F130" s="3" t="s">
        <v>581</v>
      </c>
      <c r="G130" s="5" t="s">
        <v>31</v>
      </c>
      <c r="H130" s="2"/>
      <c r="I130" s="3"/>
      <c r="J130" s="2"/>
      <c r="K130" s="2"/>
      <c r="L130" s="2"/>
      <c r="M130" s="2"/>
    </row>
    <row r="131" spans="1:13" x14ac:dyDescent="0.25">
      <c r="A131" s="2" t="s">
        <v>582</v>
      </c>
      <c r="B131" s="2" t="s">
        <v>565</v>
      </c>
      <c r="C131" s="2" t="s">
        <v>578</v>
      </c>
      <c r="D131" s="3" t="s">
        <v>583</v>
      </c>
      <c r="E131" s="3" t="s">
        <v>584</v>
      </c>
      <c r="F131" s="3" t="s">
        <v>585</v>
      </c>
      <c r="G131" s="5" t="s">
        <v>31</v>
      </c>
      <c r="H131" s="2"/>
      <c r="I131" s="3"/>
      <c r="J131" s="2"/>
      <c r="K131" s="2"/>
      <c r="L131" s="2"/>
      <c r="M131" s="2"/>
    </row>
    <row r="132" spans="1:13" x14ac:dyDescent="0.25">
      <c r="A132" s="2" t="s">
        <v>586</v>
      </c>
      <c r="B132" s="2" t="s">
        <v>565</v>
      </c>
      <c r="C132" s="2" t="s">
        <v>587</v>
      </c>
      <c r="D132" s="3" t="s">
        <v>588</v>
      </c>
      <c r="E132" s="3" t="s">
        <v>589</v>
      </c>
      <c r="F132" s="3" t="s">
        <v>590</v>
      </c>
      <c r="G132" s="5" t="s">
        <v>31</v>
      </c>
      <c r="H132" s="2"/>
      <c r="I132" s="3"/>
      <c r="J132" s="2"/>
      <c r="K132" s="2"/>
      <c r="L132" s="2"/>
      <c r="M132" s="2"/>
    </row>
    <row r="133" spans="1:13" x14ac:dyDescent="0.25">
      <c r="A133" s="2" t="s">
        <v>591</v>
      </c>
      <c r="B133" s="2" t="s">
        <v>565</v>
      </c>
      <c r="C133" s="2" t="s">
        <v>592</v>
      </c>
      <c r="D133" s="3" t="s">
        <v>593</v>
      </c>
      <c r="E133" s="3" t="s">
        <v>594</v>
      </c>
      <c r="F133" s="3" t="s">
        <v>595</v>
      </c>
      <c r="G133" s="6" t="s">
        <v>77</v>
      </c>
      <c r="H133" s="2"/>
      <c r="I133" s="3"/>
      <c r="J133" s="2"/>
      <c r="K133" s="2"/>
      <c r="L133" s="2"/>
      <c r="M133" s="2"/>
    </row>
    <row r="134" spans="1:13" x14ac:dyDescent="0.25">
      <c r="A134" s="2" t="s">
        <v>596</v>
      </c>
      <c r="B134" s="2" t="s">
        <v>565</v>
      </c>
      <c r="C134" s="2" t="s">
        <v>597</v>
      </c>
      <c r="D134" s="3" t="s">
        <v>598</v>
      </c>
      <c r="E134" s="3" t="s">
        <v>599</v>
      </c>
      <c r="F134" s="3" t="s">
        <v>600</v>
      </c>
      <c r="G134" s="6" t="s">
        <v>77</v>
      </c>
      <c r="H134" s="2"/>
      <c r="I134" s="3"/>
      <c r="J134" s="2"/>
      <c r="K134" s="2"/>
      <c r="L134" s="2"/>
      <c r="M134" s="2"/>
    </row>
    <row r="135" spans="1:13" x14ac:dyDescent="0.25">
      <c r="A135" s="2" t="s">
        <v>601</v>
      </c>
      <c r="B135" s="2" t="s">
        <v>565</v>
      </c>
      <c r="C135" s="2" t="s">
        <v>602</v>
      </c>
      <c r="D135" s="3" t="s">
        <v>603</v>
      </c>
      <c r="E135" s="3" t="s">
        <v>604</v>
      </c>
      <c r="F135" s="3" t="s">
        <v>605</v>
      </c>
      <c r="G135" s="6" t="s">
        <v>77</v>
      </c>
      <c r="H135" s="2"/>
      <c r="I135" s="3"/>
      <c r="J135" s="2"/>
      <c r="K135" s="2"/>
      <c r="L135" s="2"/>
      <c r="M135" s="2"/>
    </row>
    <row r="136" spans="1:13" x14ac:dyDescent="0.25">
      <c r="A136" s="2" t="s">
        <v>606</v>
      </c>
      <c r="B136" s="2" t="s">
        <v>607</v>
      </c>
      <c r="C136" s="2" t="s">
        <v>608</v>
      </c>
      <c r="D136" s="3" t="s">
        <v>609</v>
      </c>
      <c r="E136" s="3" t="s">
        <v>610</v>
      </c>
      <c r="F136" s="3" t="s">
        <v>611</v>
      </c>
      <c r="G136" s="4" t="s">
        <v>18</v>
      </c>
      <c r="H136" s="2"/>
      <c r="I136" s="3"/>
      <c r="J136" s="2"/>
      <c r="K136" s="2"/>
      <c r="L136" s="2"/>
      <c r="M136" s="2"/>
    </row>
    <row r="137" spans="1:13" x14ac:dyDescent="0.25">
      <c r="A137" s="2" t="s">
        <v>612</v>
      </c>
      <c r="B137" s="2" t="s">
        <v>607</v>
      </c>
      <c r="C137" s="2" t="s">
        <v>293</v>
      </c>
      <c r="D137" s="3" t="s">
        <v>394</v>
      </c>
      <c r="E137" s="3" t="s">
        <v>613</v>
      </c>
      <c r="F137" s="3" t="s">
        <v>614</v>
      </c>
      <c r="G137" s="4" t="s">
        <v>18</v>
      </c>
      <c r="H137" s="2"/>
      <c r="I137" s="3"/>
      <c r="J137" s="2"/>
      <c r="K137" s="2"/>
      <c r="L137" s="2"/>
      <c r="M137" s="2"/>
    </row>
    <row r="138" spans="1:13" x14ac:dyDescent="0.25">
      <c r="A138" s="2" t="s">
        <v>615</v>
      </c>
      <c r="B138" s="2" t="s">
        <v>607</v>
      </c>
      <c r="C138" s="2" t="s">
        <v>227</v>
      </c>
      <c r="D138" s="3" t="s">
        <v>616</v>
      </c>
      <c r="E138" s="3" t="s">
        <v>617</v>
      </c>
      <c r="F138" s="3" t="s">
        <v>618</v>
      </c>
      <c r="G138" s="4" t="s">
        <v>18</v>
      </c>
      <c r="H138" s="2"/>
      <c r="I138" s="3"/>
      <c r="J138" s="2"/>
      <c r="K138" s="2"/>
      <c r="L138" s="2"/>
      <c r="M138" s="2"/>
    </row>
    <row r="139" spans="1:13" x14ac:dyDescent="0.25">
      <c r="A139" s="2" t="s">
        <v>619</v>
      </c>
      <c r="B139" s="2" t="s">
        <v>607</v>
      </c>
      <c r="C139" s="2" t="s">
        <v>620</v>
      </c>
      <c r="D139" s="3" t="s">
        <v>621</v>
      </c>
      <c r="E139" s="3" t="s">
        <v>622</v>
      </c>
      <c r="F139" s="3" t="s">
        <v>623</v>
      </c>
      <c r="G139" s="4" t="s">
        <v>18</v>
      </c>
      <c r="H139" s="2"/>
      <c r="I139" s="3"/>
      <c r="J139" s="2"/>
      <c r="K139" s="2"/>
      <c r="L139" s="2"/>
      <c r="M139" s="2"/>
    </row>
    <row r="140" spans="1:13" x14ac:dyDescent="0.25">
      <c r="A140" s="2" t="s">
        <v>624</v>
      </c>
      <c r="B140" s="2" t="s">
        <v>607</v>
      </c>
      <c r="C140" s="2" t="s">
        <v>620</v>
      </c>
      <c r="D140" s="3" t="s">
        <v>625</v>
      </c>
      <c r="E140" s="3" t="s">
        <v>626</v>
      </c>
      <c r="F140" s="3" t="s">
        <v>627</v>
      </c>
      <c r="G140" s="5" t="s">
        <v>31</v>
      </c>
      <c r="H140" s="2"/>
      <c r="I140" s="3"/>
      <c r="J140" s="2"/>
      <c r="K140" s="2"/>
      <c r="L140" s="2"/>
      <c r="M140" s="2"/>
    </row>
    <row r="141" spans="1:13" x14ac:dyDescent="0.25">
      <c r="A141" s="2" t="s">
        <v>628</v>
      </c>
      <c r="B141" s="2" t="s">
        <v>607</v>
      </c>
      <c r="C141" s="2" t="s">
        <v>620</v>
      </c>
      <c r="D141" s="3" t="s">
        <v>629</v>
      </c>
      <c r="E141" s="3" t="s">
        <v>630</v>
      </c>
      <c r="F141" s="3" t="s">
        <v>631</v>
      </c>
      <c r="G141" s="5" t="s">
        <v>31</v>
      </c>
      <c r="H141" s="2"/>
      <c r="I141" s="3"/>
      <c r="J141" s="2"/>
      <c r="K141" s="2"/>
      <c r="L141" s="2"/>
      <c r="M141" s="2"/>
    </row>
    <row r="142" spans="1:13" x14ac:dyDescent="0.25">
      <c r="A142" s="2" t="s">
        <v>632</v>
      </c>
      <c r="B142" s="2" t="s">
        <v>607</v>
      </c>
      <c r="C142" s="2" t="s">
        <v>633</v>
      </c>
      <c r="D142" s="3" t="s">
        <v>634</v>
      </c>
      <c r="E142" s="3" t="s">
        <v>635</v>
      </c>
      <c r="F142" s="3" t="s">
        <v>636</v>
      </c>
      <c r="G142" s="5" t="s">
        <v>31</v>
      </c>
      <c r="H142" s="2"/>
      <c r="I142" s="3"/>
      <c r="J142" s="2"/>
      <c r="K142" s="2"/>
      <c r="L142" s="2"/>
      <c r="M142" s="2"/>
    </row>
    <row r="143" spans="1:13" x14ac:dyDescent="0.25">
      <c r="A143" s="2" t="s">
        <v>637</v>
      </c>
      <c r="B143" s="2" t="s">
        <v>607</v>
      </c>
      <c r="C143" s="2" t="s">
        <v>633</v>
      </c>
      <c r="D143" s="3" t="s">
        <v>638</v>
      </c>
      <c r="E143" s="3" t="s">
        <v>639</v>
      </c>
      <c r="F143" s="3" t="s">
        <v>640</v>
      </c>
      <c r="G143" s="5" t="s">
        <v>31</v>
      </c>
      <c r="H143" s="2"/>
      <c r="I143" s="3"/>
      <c r="J143" s="2"/>
      <c r="K143" s="2"/>
      <c r="L143" s="2"/>
      <c r="M143" s="2"/>
    </row>
    <row r="144" spans="1:13" x14ac:dyDescent="0.25">
      <c r="A144" s="2" t="s">
        <v>641</v>
      </c>
      <c r="B144" s="2" t="s">
        <v>607</v>
      </c>
      <c r="C144" s="2" t="s">
        <v>633</v>
      </c>
      <c r="D144" s="3" t="s">
        <v>642</v>
      </c>
      <c r="E144" s="3" t="s">
        <v>643</v>
      </c>
      <c r="F144" s="3" t="s">
        <v>644</v>
      </c>
      <c r="G144" s="5" t="s">
        <v>31</v>
      </c>
      <c r="H144" s="2"/>
      <c r="I144" s="3"/>
      <c r="J144" s="2"/>
      <c r="K144" s="2"/>
      <c r="L144" s="2"/>
      <c r="M144" s="2"/>
    </row>
    <row r="145" spans="1:13" x14ac:dyDescent="0.25">
      <c r="A145" s="2" t="s">
        <v>645</v>
      </c>
      <c r="B145" s="2" t="s">
        <v>607</v>
      </c>
      <c r="C145" s="2" t="s">
        <v>646</v>
      </c>
      <c r="D145" s="3" t="s">
        <v>647</v>
      </c>
      <c r="E145" s="3" t="s">
        <v>648</v>
      </c>
      <c r="F145" s="3" t="s">
        <v>649</v>
      </c>
      <c r="G145" s="5" t="s">
        <v>31</v>
      </c>
      <c r="H145" s="2"/>
      <c r="I145" s="3"/>
      <c r="J145" s="2"/>
      <c r="K145" s="2"/>
      <c r="L145" s="2"/>
      <c r="M145" s="2"/>
    </row>
    <row r="146" spans="1:13" x14ac:dyDescent="0.25">
      <c r="A146" s="2" t="s">
        <v>650</v>
      </c>
      <c r="B146" s="2" t="s">
        <v>607</v>
      </c>
      <c r="C146" s="2" t="s">
        <v>651</v>
      </c>
      <c r="D146" s="3" t="s">
        <v>652</v>
      </c>
      <c r="E146" s="3" t="s">
        <v>653</v>
      </c>
      <c r="F146" s="3" t="s">
        <v>654</v>
      </c>
      <c r="G146" s="5" t="s">
        <v>31</v>
      </c>
      <c r="H146" s="2"/>
      <c r="I146" s="3"/>
      <c r="J146" s="2"/>
      <c r="K146" s="2"/>
      <c r="L146" s="2"/>
      <c r="M146" s="2"/>
    </row>
    <row r="147" spans="1:13" x14ac:dyDescent="0.25">
      <c r="A147" s="2" t="s">
        <v>655</v>
      </c>
      <c r="B147" s="2" t="s">
        <v>607</v>
      </c>
      <c r="C147" s="2" t="s">
        <v>236</v>
      </c>
      <c r="D147" s="3" t="s">
        <v>656</v>
      </c>
      <c r="E147" s="3" t="s">
        <v>657</v>
      </c>
      <c r="F147" s="3" t="s">
        <v>658</v>
      </c>
      <c r="G147" s="5" t="s">
        <v>31</v>
      </c>
      <c r="H147" s="2"/>
      <c r="I147" s="3"/>
      <c r="J147" s="2"/>
      <c r="K147" s="2"/>
      <c r="L147" s="2"/>
      <c r="M147" s="2"/>
    </row>
    <row r="148" spans="1:13" x14ac:dyDescent="0.25">
      <c r="A148" s="2" t="s">
        <v>659</v>
      </c>
      <c r="B148" s="2" t="s">
        <v>607</v>
      </c>
      <c r="C148" s="2" t="s">
        <v>660</v>
      </c>
      <c r="D148" s="3" t="s">
        <v>661</v>
      </c>
      <c r="E148" s="3" t="s">
        <v>662</v>
      </c>
      <c r="F148" s="3" t="s">
        <v>663</v>
      </c>
      <c r="G148" s="5" t="s">
        <v>31</v>
      </c>
      <c r="H148" s="2"/>
      <c r="I148" s="3"/>
      <c r="J148" s="2"/>
      <c r="K148" s="2"/>
      <c r="L148" s="2"/>
      <c r="M148" s="2"/>
    </row>
    <row r="149" spans="1:13" x14ac:dyDescent="0.25">
      <c r="A149" s="2" t="s">
        <v>664</v>
      </c>
      <c r="B149" s="2" t="s">
        <v>665</v>
      </c>
      <c r="C149" s="2" t="s">
        <v>666</v>
      </c>
      <c r="D149" s="3" t="s">
        <v>667</v>
      </c>
      <c r="E149" s="3" t="s">
        <v>668</v>
      </c>
      <c r="F149" s="3" t="s">
        <v>669</v>
      </c>
      <c r="G149" s="4" t="s">
        <v>18</v>
      </c>
      <c r="H149" s="2"/>
      <c r="I149" s="3"/>
      <c r="J149" s="2"/>
      <c r="K149" s="2"/>
      <c r="L149" s="2"/>
      <c r="M149" s="2"/>
    </row>
    <row r="150" spans="1:13" x14ac:dyDescent="0.25">
      <c r="A150" s="2" t="s">
        <v>670</v>
      </c>
      <c r="B150" s="2" t="s">
        <v>665</v>
      </c>
      <c r="C150" s="2" t="s">
        <v>671</v>
      </c>
      <c r="D150" s="3" t="s">
        <v>672</v>
      </c>
      <c r="E150" s="3" t="s">
        <v>673</v>
      </c>
      <c r="F150" s="3" t="s">
        <v>674</v>
      </c>
      <c r="G150" s="4" t="s">
        <v>18</v>
      </c>
      <c r="H150" s="2"/>
      <c r="I150" s="3"/>
      <c r="J150" s="2"/>
      <c r="K150" s="2"/>
      <c r="L150" s="2"/>
      <c r="M150" s="2"/>
    </row>
    <row r="151" spans="1:13" x14ac:dyDescent="0.25">
      <c r="A151" s="2" t="s">
        <v>675</v>
      </c>
      <c r="B151" s="2" t="s">
        <v>665</v>
      </c>
      <c r="C151" s="2" t="s">
        <v>676</v>
      </c>
      <c r="D151" s="3" t="s">
        <v>677</v>
      </c>
      <c r="E151" s="3" t="s">
        <v>678</v>
      </c>
      <c r="F151" s="3" t="s">
        <v>679</v>
      </c>
      <c r="G151" s="5" t="s">
        <v>31</v>
      </c>
      <c r="H151" s="2"/>
      <c r="I151" s="3"/>
      <c r="J151" s="2"/>
      <c r="K151" s="2"/>
      <c r="L151" s="2"/>
      <c r="M151" s="2"/>
    </row>
    <row r="152" spans="1:13" x14ac:dyDescent="0.25">
      <c r="A152" s="2" t="s">
        <v>680</v>
      </c>
      <c r="B152" s="2" t="s">
        <v>665</v>
      </c>
      <c r="C152" s="2" t="s">
        <v>676</v>
      </c>
      <c r="D152" s="3" t="s">
        <v>681</v>
      </c>
      <c r="E152" s="3" t="s">
        <v>682</v>
      </c>
      <c r="F152" s="3" t="s">
        <v>683</v>
      </c>
      <c r="G152" s="5" t="s">
        <v>31</v>
      </c>
      <c r="H152" s="2"/>
      <c r="I152" s="3"/>
      <c r="J152" s="2"/>
      <c r="K152" s="2"/>
      <c r="L152" s="2"/>
      <c r="M152" s="2"/>
    </row>
    <row r="153" spans="1:13" x14ac:dyDescent="0.25">
      <c r="A153" s="2" t="s">
        <v>684</v>
      </c>
      <c r="B153" s="2" t="s">
        <v>665</v>
      </c>
      <c r="C153" s="2" t="s">
        <v>685</v>
      </c>
      <c r="D153" s="3" t="s">
        <v>686</v>
      </c>
      <c r="E153" s="3" t="s">
        <v>687</v>
      </c>
      <c r="F153" s="3" t="s">
        <v>688</v>
      </c>
      <c r="G153" s="5" t="s">
        <v>31</v>
      </c>
      <c r="H153" s="2"/>
      <c r="I153" s="3"/>
      <c r="J153" s="2"/>
      <c r="K153" s="2"/>
      <c r="L153" s="2"/>
      <c r="M153" s="2"/>
    </row>
    <row r="154" spans="1:13" x14ac:dyDescent="0.25">
      <c r="A154" s="2" t="s">
        <v>689</v>
      </c>
      <c r="B154" s="2" t="s">
        <v>665</v>
      </c>
      <c r="C154" s="2" t="s">
        <v>690</v>
      </c>
      <c r="D154" s="3" t="s">
        <v>691</v>
      </c>
      <c r="E154" s="3" t="s">
        <v>692</v>
      </c>
      <c r="F154" s="3" t="s">
        <v>693</v>
      </c>
      <c r="G154" s="5" t="s">
        <v>31</v>
      </c>
      <c r="H154" s="2"/>
      <c r="I154" s="3"/>
      <c r="J154" s="2"/>
      <c r="K154" s="2"/>
      <c r="L154" s="2"/>
      <c r="M154" s="2"/>
    </row>
    <row r="155" spans="1:13" x14ac:dyDescent="0.25">
      <c r="A155" s="2" t="s">
        <v>694</v>
      </c>
      <c r="B155" s="2" t="s">
        <v>665</v>
      </c>
      <c r="C155" s="2" t="s">
        <v>695</v>
      </c>
      <c r="D155" s="3" t="s">
        <v>696</v>
      </c>
      <c r="E155" s="3" t="s">
        <v>697</v>
      </c>
      <c r="F155" s="3" t="s">
        <v>698</v>
      </c>
      <c r="G155" s="5" t="s">
        <v>31</v>
      </c>
      <c r="H155" s="2"/>
      <c r="I155" s="3"/>
      <c r="J155" s="2"/>
      <c r="K155" s="2"/>
      <c r="L155" s="2"/>
      <c r="M155" s="2"/>
    </row>
    <row r="156" spans="1:13" x14ac:dyDescent="0.25">
      <c r="A156" s="2" t="s">
        <v>699</v>
      </c>
      <c r="B156" s="2" t="s">
        <v>665</v>
      </c>
      <c r="C156" s="2" t="s">
        <v>700</v>
      </c>
      <c r="D156" s="3" t="s">
        <v>701</v>
      </c>
      <c r="E156" s="3" t="s">
        <v>702</v>
      </c>
      <c r="F156" s="3" t="s">
        <v>703</v>
      </c>
      <c r="G156" s="5" t="s">
        <v>31</v>
      </c>
      <c r="H156" s="2"/>
      <c r="I156" s="3"/>
      <c r="J156" s="2"/>
      <c r="K156" s="2"/>
      <c r="L156" s="2"/>
      <c r="M156" s="2"/>
    </row>
    <row r="157" spans="1:13" x14ac:dyDescent="0.25">
      <c r="A157" s="2" t="s">
        <v>704</v>
      </c>
      <c r="B157" s="2" t="s">
        <v>665</v>
      </c>
      <c r="C157" s="2" t="s">
        <v>236</v>
      </c>
      <c r="D157" s="3" t="s">
        <v>705</v>
      </c>
      <c r="E157" s="3" t="s">
        <v>706</v>
      </c>
      <c r="F157" s="3" t="s">
        <v>707</v>
      </c>
      <c r="G157" s="5" t="s">
        <v>31</v>
      </c>
      <c r="H157" s="2"/>
      <c r="I157" s="3"/>
      <c r="J157" s="2"/>
      <c r="K157" s="2"/>
      <c r="L157" s="2"/>
      <c r="M157" s="2"/>
    </row>
    <row r="158" spans="1:13" x14ac:dyDescent="0.25">
      <c r="A158" s="2" t="s">
        <v>708</v>
      </c>
      <c r="B158" s="2" t="s">
        <v>665</v>
      </c>
      <c r="C158" s="2" t="s">
        <v>709</v>
      </c>
      <c r="D158" s="3" t="s">
        <v>710</v>
      </c>
      <c r="E158" s="3" t="s">
        <v>711</v>
      </c>
      <c r="F158" s="3" t="s">
        <v>712</v>
      </c>
      <c r="G158" s="6" t="s">
        <v>77</v>
      </c>
      <c r="H158" s="2"/>
      <c r="I158" s="3"/>
      <c r="J158" s="2"/>
      <c r="K158" s="2"/>
      <c r="L158" s="2"/>
      <c r="M158" s="2"/>
    </row>
    <row r="159" spans="1:13" x14ac:dyDescent="0.25">
      <c r="A159" s="2" t="s">
        <v>713</v>
      </c>
      <c r="B159" s="2" t="s">
        <v>665</v>
      </c>
      <c r="C159" s="2" t="s">
        <v>714</v>
      </c>
      <c r="D159" s="3" t="s">
        <v>715</v>
      </c>
      <c r="E159" s="3" t="s">
        <v>716</v>
      </c>
      <c r="F159" s="3" t="s">
        <v>717</v>
      </c>
      <c r="G159" s="6" t="s">
        <v>77</v>
      </c>
      <c r="H159" s="2"/>
      <c r="I159" s="3"/>
      <c r="J159" s="2"/>
      <c r="K159" s="2"/>
      <c r="L159" s="2"/>
      <c r="M159" s="2"/>
    </row>
    <row r="160" spans="1:13" x14ac:dyDescent="0.25">
      <c r="A160" s="2" t="s">
        <v>718</v>
      </c>
      <c r="B160" s="2" t="s">
        <v>665</v>
      </c>
      <c r="C160" s="2" t="s">
        <v>209</v>
      </c>
      <c r="D160" s="3" t="s">
        <v>719</v>
      </c>
      <c r="E160" s="3" t="s">
        <v>720</v>
      </c>
      <c r="F160" s="3" t="s">
        <v>721</v>
      </c>
      <c r="G160" s="6" t="s">
        <v>77</v>
      </c>
      <c r="H160" s="2"/>
      <c r="I160" s="3"/>
      <c r="J160" s="2"/>
      <c r="K160" s="2"/>
      <c r="L160" s="2"/>
      <c r="M160" s="2"/>
    </row>
    <row r="161" spans="1:13" x14ac:dyDescent="0.25">
      <c r="A161" s="2" t="s">
        <v>722</v>
      </c>
      <c r="B161" s="2" t="s">
        <v>665</v>
      </c>
      <c r="C161" s="2" t="s">
        <v>723</v>
      </c>
      <c r="D161" s="3" t="s">
        <v>724</v>
      </c>
      <c r="E161" s="3" t="s">
        <v>725</v>
      </c>
      <c r="F161" s="3" t="s">
        <v>726</v>
      </c>
      <c r="G161" s="6" t="s">
        <v>77</v>
      </c>
      <c r="H161" s="2"/>
      <c r="I161" s="3"/>
      <c r="J161" s="2"/>
      <c r="K161" s="2"/>
      <c r="L161" s="2"/>
      <c r="M161" s="2"/>
    </row>
    <row r="162" spans="1:13" x14ac:dyDescent="0.25">
      <c r="A162" s="2" t="s">
        <v>727</v>
      </c>
      <c r="B162" s="2" t="s">
        <v>665</v>
      </c>
      <c r="C162" s="2" t="s">
        <v>728</v>
      </c>
      <c r="D162" s="3" t="s">
        <v>729</v>
      </c>
      <c r="E162" s="3" t="s">
        <v>730</v>
      </c>
      <c r="F162" s="3" t="s">
        <v>731</v>
      </c>
      <c r="G162" s="5" t="s">
        <v>31</v>
      </c>
      <c r="H162" s="2"/>
      <c r="I162" s="3"/>
      <c r="J162" s="2"/>
      <c r="K162" s="2"/>
      <c r="L162" s="2"/>
      <c r="M162" s="2"/>
    </row>
    <row r="163" spans="1:13" x14ac:dyDescent="0.25">
      <c r="A163" s="2" t="s">
        <v>732</v>
      </c>
      <c r="B163" s="2" t="s">
        <v>733</v>
      </c>
      <c r="C163" s="2" t="s">
        <v>293</v>
      </c>
      <c r="D163" s="3" t="s">
        <v>734</v>
      </c>
      <c r="E163" s="3" t="s">
        <v>735</v>
      </c>
      <c r="F163" s="3" t="s">
        <v>736</v>
      </c>
      <c r="G163" s="4" t="s">
        <v>18</v>
      </c>
      <c r="H163" s="2"/>
      <c r="I163" s="3"/>
      <c r="J163" s="2"/>
      <c r="K163" s="2"/>
      <c r="L163" s="2"/>
      <c r="M163" s="2"/>
    </row>
    <row r="164" spans="1:13" x14ac:dyDescent="0.25">
      <c r="A164" s="2" t="s">
        <v>737</v>
      </c>
      <c r="B164" s="2" t="s">
        <v>733</v>
      </c>
      <c r="C164" s="2" t="s">
        <v>608</v>
      </c>
      <c r="D164" s="3" t="s">
        <v>738</v>
      </c>
      <c r="E164" s="3" t="s">
        <v>739</v>
      </c>
      <c r="F164" s="3" t="s">
        <v>740</v>
      </c>
      <c r="G164" s="4" t="s">
        <v>18</v>
      </c>
      <c r="H164" s="2"/>
      <c r="I164" s="3"/>
      <c r="J164" s="2"/>
      <c r="K164" s="2"/>
      <c r="L164" s="2"/>
      <c r="M164" s="2"/>
    </row>
    <row r="165" spans="1:13" x14ac:dyDescent="0.25">
      <c r="A165" s="2" t="s">
        <v>741</v>
      </c>
      <c r="B165" s="2" t="s">
        <v>733</v>
      </c>
      <c r="C165" s="2" t="s">
        <v>227</v>
      </c>
      <c r="D165" s="3" t="s">
        <v>742</v>
      </c>
      <c r="E165" s="3" t="s">
        <v>743</v>
      </c>
      <c r="F165" s="3" t="s">
        <v>744</v>
      </c>
      <c r="G165" s="5" t="s">
        <v>31</v>
      </c>
      <c r="H165" s="2"/>
      <c r="I165" s="3"/>
      <c r="J165" s="2"/>
      <c r="K165" s="2"/>
      <c r="L165" s="2"/>
      <c r="M165" s="2"/>
    </row>
    <row r="166" spans="1:13" x14ac:dyDescent="0.25">
      <c r="A166" s="2" t="s">
        <v>745</v>
      </c>
      <c r="B166" s="2" t="s">
        <v>733</v>
      </c>
      <c r="C166" s="2" t="s">
        <v>746</v>
      </c>
      <c r="D166" s="3" t="s">
        <v>747</v>
      </c>
      <c r="E166" s="3" t="s">
        <v>748</v>
      </c>
      <c r="F166" s="3" t="s">
        <v>749</v>
      </c>
      <c r="G166" s="5" t="s">
        <v>31</v>
      </c>
      <c r="H166" s="2"/>
      <c r="I166" s="3"/>
      <c r="J166" s="2"/>
      <c r="K166" s="2"/>
      <c r="L166" s="2"/>
      <c r="M166" s="2"/>
    </row>
    <row r="167" spans="1:13" x14ac:dyDescent="0.25">
      <c r="A167" s="2" t="s">
        <v>750</v>
      </c>
      <c r="B167" s="2" t="s">
        <v>751</v>
      </c>
      <c r="C167" s="2" t="s">
        <v>293</v>
      </c>
      <c r="D167" s="3" t="s">
        <v>752</v>
      </c>
      <c r="E167" s="3" t="s">
        <v>753</v>
      </c>
      <c r="F167" s="3" t="s">
        <v>754</v>
      </c>
      <c r="G167" s="4" t="s">
        <v>18</v>
      </c>
      <c r="H167" s="2"/>
      <c r="I167" s="3"/>
      <c r="J167" s="2"/>
      <c r="K167" s="2"/>
      <c r="L167" s="2"/>
      <c r="M167" s="2"/>
    </row>
    <row r="168" spans="1:13" x14ac:dyDescent="0.25">
      <c r="A168" s="2" t="s">
        <v>755</v>
      </c>
      <c r="B168" s="2" t="s">
        <v>751</v>
      </c>
      <c r="C168" s="2" t="s">
        <v>756</v>
      </c>
      <c r="D168" s="3" t="s">
        <v>757</v>
      </c>
      <c r="E168" s="3" t="s">
        <v>758</v>
      </c>
      <c r="F168" s="3" t="s">
        <v>759</v>
      </c>
      <c r="G168" s="4" t="s">
        <v>18</v>
      </c>
      <c r="H168" s="2"/>
      <c r="I168" s="3"/>
      <c r="J168" s="2"/>
      <c r="K168" s="2"/>
      <c r="L168" s="2"/>
      <c r="M168" s="2"/>
    </row>
    <row r="169" spans="1:13" x14ac:dyDescent="0.25">
      <c r="A169" s="2" t="s">
        <v>760</v>
      </c>
      <c r="B169" s="2" t="s">
        <v>751</v>
      </c>
      <c r="C169" s="2" t="s">
        <v>227</v>
      </c>
      <c r="D169" s="3" t="s">
        <v>761</v>
      </c>
      <c r="E169" s="3" t="s">
        <v>762</v>
      </c>
      <c r="F169" s="3" t="s">
        <v>763</v>
      </c>
      <c r="G169" s="5" t="s">
        <v>31</v>
      </c>
      <c r="H169" s="2"/>
      <c r="I169" s="3"/>
      <c r="J169" s="2"/>
      <c r="K169" s="2"/>
      <c r="L169" s="2"/>
      <c r="M169" s="2"/>
    </row>
    <row r="170" spans="1:13" x14ac:dyDescent="0.25">
      <c r="A170" s="2" t="s">
        <v>764</v>
      </c>
      <c r="B170" s="2" t="s">
        <v>751</v>
      </c>
      <c r="C170" s="2" t="s">
        <v>746</v>
      </c>
      <c r="D170" s="3" t="s">
        <v>765</v>
      </c>
      <c r="E170" s="3" t="s">
        <v>766</v>
      </c>
      <c r="F170" s="3" t="s">
        <v>749</v>
      </c>
      <c r="G170" s="5" t="s">
        <v>31</v>
      </c>
      <c r="H170" s="2"/>
      <c r="I170" s="3"/>
      <c r="J170" s="2"/>
      <c r="K170" s="2"/>
      <c r="L170" s="2"/>
      <c r="M170" s="2"/>
    </row>
    <row r="171" spans="1:13" x14ac:dyDescent="0.25">
      <c r="A171" s="2" t="s">
        <v>767</v>
      </c>
      <c r="B171" s="2" t="s">
        <v>751</v>
      </c>
      <c r="C171" s="2" t="s">
        <v>768</v>
      </c>
      <c r="D171" s="3" t="s">
        <v>769</v>
      </c>
      <c r="E171" s="3" t="s">
        <v>320</v>
      </c>
      <c r="F171" s="3" t="s">
        <v>484</v>
      </c>
      <c r="G171" s="5" t="s">
        <v>31</v>
      </c>
      <c r="H171" s="2"/>
      <c r="I171" s="3"/>
      <c r="J171" s="2"/>
      <c r="K171" s="2"/>
      <c r="L171" s="2"/>
      <c r="M171" s="2"/>
    </row>
    <row r="172" spans="1:13" x14ac:dyDescent="0.25">
      <c r="A172" s="2" t="s">
        <v>770</v>
      </c>
      <c r="B172" s="2" t="s">
        <v>751</v>
      </c>
      <c r="C172" s="2" t="s">
        <v>209</v>
      </c>
      <c r="D172" s="3" t="s">
        <v>771</v>
      </c>
      <c r="E172" s="3" t="s">
        <v>772</v>
      </c>
      <c r="F172" s="3" t="s">
        <v>773</v>
      </c>
      <c r="G172" s="5" t="s">
        <v>31</v>
      </c>
      <c r="H172" s="2"/>
      <c r="I172" s="3"/>
      <c r="J172" s="2"/>
      <c r="K172" s="2"/>
      <c r="L172" s="2"/>
      <c r="M172" s="2"/>
    </row>
    <row r="173" spans="1:13" x14ac:dyDescent="0.25">
      <c r="A173" s="2" t="s">
        <v>774</v>
      </c>
      <c r="B173" s="2" t="s">
        <v>775</v>
      </c>
      <c r="C173" s="2" t="s">
        <v>293</v>
      </c>
      <c r="D173" s="3" t="s">
        <v>776</v>
      </c>
      <c r="E173" s="3" t="s">
        <v>777</v>
      </c>
      <c r="F173" s="3" t="s">
        <v>778</v>
      </c>
      <c r="G173" s="4" t="s">
        <v>18</v>
      </c>
      <c r="H173" s="2"/>
      <c r="I173" s="3"/>
      <c r="J173" s="2"/>
      <c r="K173" s="2"/>
      <c r="L173" s="2"/>
      <c r="M173" s="2"/>
    </row>
    <row r="174" spans="1:13" x14ac:dyDescent="0.25">
      <c r="A174" s="2" t="s">
        <v>779</v>
      </c>
      <c r="B174" s="2" t="s">
        <v>775</v>
      </c>
      <c r="C174" s="2" t="s">
        <v>780</v>
      </c>
      <c r="D174" s="3" t="s">
        <v>781</v>
      </c>
      <c r="E174" s="3" t="s">
        <v>782</v>
      </c>
      <c r="F174" s="3" t="s">
        <v>783</v>
      </c>
      <c r="G174" s="5" t="s">
        <v>31</v>
      </c>
      <c r="H174" s="2"/>
      <c r="I174" s="3"/>
      <c r="J174" s="2"/>
      <c r="K174" s="2"/>
      <c r="L174" s="2"/>
      <c r="M174" s="2"/>
    </row>
    <row r="175" spans="1:13" x14ac:dyDescent="0.25">
      <c r="A175" s="2" t="s">
        <v>784</v>
      </c>
      <c r="B175" s="2" t="s">
        <v>775</v>
      </c>
      <c r="C175" s="2" t="s">
        <v>785</v>
      </c>
      <c r="D175" s="3" t="s">
        <v>786</v>
      </c>
      <c r="E175" s="3" t="s">
        <v>787</v>
      </c>
      <c r="F175" s="3" t="s">
        <v>293</v>
      </c>
      <c r="G175" s="6" t="s">
        <v>77</v>
      </c>
      <c r="H175" s="2"/>
      <c r="I175" s="3"/>
      <c r="J175" s="2"/>
      <c r="K175" s="2"/>
      <c r="L175" s="2"/>
      <c r="M175" s="2"/>
    </row>
    <row r="176" spans="1:13" x14ac:dyDescent="0.25">
      <c r="A176" s="2" t="s">
        <v>788</v>
      </c>
      <c r="B176" s="2" t="s">
        <v>775</v>
      </c>
      <c r="C176" s="2" t="s">
        <v>789</v>
      </c>
      <c r="D176" s="3" t="s">
        <v>790</v>
      </c>
      <c r="E176" s="3" t="s">
        <v>791</v>
      </c>
      <c r="F176" s="3" t="s">
        <v>792</v>
      </c>
      <c r="G176" s="6" t="s">
        <v>77</v>
      </c>
      <c r="H176" s="2"/>
      <c r="I176" s="3"/>
      <c r="J176" s="2"/>
      <c r="K176" s="2"/>
      <c r="L176" s="2"/>
      <c r="M176" s="2"/>
    </row>
    <row r="177" spans="1:13" x14ac:dyDescent="0.25">
      <c r="A177" s="2" t="s">
        <v>793</v>
      </c>
      <c r="B177" s="2" t="s">
        <v>775</v>
      </c>
      <c r="C177" s="2" t="s">
        <v>794</v>
      </c>
      <c r="D177" s="3" t="s">
        <v>795</v>
      </c>
      <c r="E177" s="3" t="s">
        <v>796</v>
      </c>
      <c r="F177" s="3" t="s">
        <v>792</v>
      </c>
      <c r="G177" s="6" t="s">
        <v>77</v>
      </c>
      <c r="H177" s="2"/>
      <c r="I177" s="3"/>
      <c r="J177" s="2"/>
      <c r="K177" s="2"/>
      <c r="L177" s="2"/>
      <c r="M177" s="2"/>
    </row>
    <row r="178" spans="1:13" x14ac:dyDescent="0.25">
      <c r="A178" s="2" t="s">
        <v>797</v>
      </c>
      <c r="B178" s="2" t="s">
        <v>775</v>
      </c>
      <c r="C178" s="2" t="s">
        <v>209</v>
      </c>
      <c r="D178" s="3" t="s">
        <v>798</v>
      </c>
      <c r="E178" s="3" t="s">
        <v>799</v>
      </c>
      <c r="F178" s="3" t="s">
        <v>800</v>
      </c>
      <c r="G178" s="6" t="s">
        <v>77</v>
      </c>
      <c r="H178" s="2"/>
      <c r="I178" s="3"/>
      <c r="J178" s="2"/>
      <c r="K178" s="2"/>
      <c r="L178" s="2"/>
      <c r="M178" s="2"/>
    </row>
    <row r="179" spans="1:13" x14ac:dyDescent="0.25">
      <c r="A179" s="2" t="s">
        <v>801</v>
      </c>
      <c r="B179" s="2" t="s">
        <v>802</v>
      </c>
      <c r="C179" s="2" t="s">
        <v>293</v>
      </c>
      <c r="D179" s="3" t="s">
        <v>803</v>
      </c>
      <c r="E179" s="3" t="s">
        <v>804</v>
      </c>
      <c r="F179" s="3" t="s">
        <v>805</v>
      </c>
      <c r="G179" s="5" t="s">
        <v>31</v>
      </c>
      <c r="H179" s="2"/>
      <c r="I179" s="3"/>
      <c r="J179" s="2"/>
      <c r="K179" s="2"/>
      <c r="L179" s="2"/>
      <c r="M179" s="2"/>
    </row>
    <row r="180" spans="1:13" x14ac:dyDescent="0.25">
      <c r="A180" s="2" t="s">
        <v>806</v>
      </c>
      <c r="B180" s="2" t="s">
        <v>802</v>
      </c>
      <c r="C180" s="2" t="s">
        <v>608</v>
      </c>
      <c r="D180" s="3" t="s">
        <v>807</v>
      </c>
      <c r="E180" s="3" t="s">
        <v>808</v>
      </c>
      <c r="F180" s="3" t="s">
        <v>809</v>
      </c>
      <c r="G180" s="5" t="s">
        <v>31</v>
      </c>
      <c r="H180" s="2"/>
      <c r="I180" s="3"/>
      <c r="J180" s="2"/>
      <c r="K180" s="2"/>
      <c r="L180" s="2"/>
      <c r="M180" s="2"/>
    </row>
    <row r="181" spans="1:13" x14ac:dyDescent="0.25">
      <c r="A181" s="2" t="s">
        <v>810</v>
      </c>
      <c r="B181" s="2" t="s">
        <v>802</v>
      </c>
      <c r="C181" s="2" t="s">
        <v>227</v>
      </c>
      <c r="D181" s="3" t="s">
        <v>811</v>
      </c>
      <c r="E181" s="3" t="s">
        <v>812</v>
      </c>
      <c r="F181" s="3" t="s">
        <v>813</v>
      </c>
      <c r="G181" s="5" t="s">
        <v>31</v>
      </c>
      <c r="H181" s="2"/>
      <c r="I181" s="3"/>
      <c r="J181" s="2"/>
      <c r="K181" s="2"/>
      <c r="L181" s="2"/>
      <c r="M181" s="2"/>
    </row>
    <row r="182" spans="1:13" x14ac:dyDescent="0.25">
      <c r="A182" s="2" t="s">
        <v>814</v>
      </c>
      <c r="B182" s="2" t="s">
        <v>802</v>
      </c>
      <c r="C182" s="2" t="s">
        <v>746</v>
      </c>
      <c r="D182" s="3" t="s">
        <v>815</v>
      </c>
      <c r="E182" s="3" t="s">
        <v>816</v>
      </c>
      <c r="F182" s="3" t="s">
        <v>749</v>
      </c>
      <c r="G182" s="5" t="s">
        <v>31</v>
      </c>
      <c r="H182" s="2"/>
      <c r="I182" s="3"/>
      <c r="J182" s="2"/>
      <c r="K182" s="2"/>
      <c r="L182" s="2"/>
      <c r="M182" s="2"/>
    </row>
    <row r="183" spans="1:13" x14ac:dyDescent="0.25">
      <c r="A183" s="2" t="s">
        <v>817</v>
      </c>
      <c r="B183" s="2" t="s">
        <v>802</v>
      </c>
      <c r="C183" s="2" t="s">
        <v>768</v>
      </c>
      <c r="D183" s="3" t="s">
        <v>818</v>
      </c>
      <c r="E183" s="3" t="s">
        <v>320</v>
      </c>
      <c r="F183" s="3" t="s">
        <v>819</v>
      </c>
      <c r="G183" s="6" t="s">
        <v>77</v>
      </c>
      <c r="H183" s="2"/>
      <c r="I183" s="3"/>
      <c r="J183" s="2"/>
      <c r="K183" s="2"/>
      <c r="L183" s="2"/>
      <c r="M183" s="2"/>
    </row>
    <row r="184" spans="1:13" x14ac:dyDescent="0.25">
      <c r="A184" s="2" t="s">
        <v>820</v>
      </c>
      <c r="B184" s="2" t="s">
        <v>802</v>
      </c>
      <c r="C184" s="2" t="s">
        <v>821</v>
      </c>
      <c r="D184" s="3" t="s">
        <v>822</v>
      </c>
      <c r="E184" s="3" t="s">
        <v>823</v>
      </c>
      <c r="F184" s="3" t="s">
        <v>824</v>
      </c>
      <c r="G184" s="5" t="s">
        <v>31</v>
      </c>
      <c r="H184" s="2"/>
      <c r="I184" s="3"/>
      <c r="J184" s="2"/>
      <c r="K184" s="2"/>
      <c r="L184" s="2"/>
      <c r="M184" s="2"/>
    </row>
    <row r="185" spans="1:13" x14ac:dyDescent="0.25">
      <c r="A185" s="2" t="s">
        <v>825</v>
      </c>
      <c r="B185" s="2" t="s">
        <v>802</v>
      </c>
      <c r="C185" s="2" t="s">
        <v>826</v>
      </c>
      <c r="D185" s="3" t="s">
        <v>827</v>
      </c>
      <c r="E185" s="3" t="s">
        <v>828</v>
      </c>
      <c r="F185" s="3" t="s">
        <v>829</v>
      </c>
      <c r="G185" s="5" t="s">
        <v>31</v>
      </c>
      <c r="H185" s="2"/>
      <c r="I185" s="3"/>
      <c r="J185" s="2"/>
      <c r="K185" s="2"/>
      <c r="L185" s="2"/>
      <c r="M185" s="2"/>
    </row>
    <row r="186" spans="1:13" x14ac:dyDescent="0.25">
      <c r="A186" s="2" t="s">
        <v>830</v>
      </c>
      <c r="B186" s="2" t="s">
        <v>831</v>
      </c>
      <c r="C186" s="2" t="s">
        <v>832</v>
      </c>
      <c r="D186" s="3" t="s">
        <v>136</v>
      </c>
      <c r="E186" s="3" t="s">
        <v>833</v>
      </c>
      <c r="F186" s="3" t="s">
        <v>834</v>
      </c>
      <c r="G186" s="4" t="s">
        <v>18</v>
      </c>
      <c r="H186" s="2"/>
      <c r="I186" s="3"/>
      <c r="J186" s="2"/>
      <c r="K186" s="2"/>
      <c r="L186" s="2"/>
      <c r="M186" s="2"/>
    </row>
    <row r="187" spans="1:13" x14ac:dyDescent="0.25">
      <c r="A187" s="2" t="s">
        <v>835</v>
      </c>
      <c r="B187" s="2" t="s">
        <v>831</v>
      </c>
      <c r="C187" s="2" t="s">
        <v>836</v>
      </c>
      <c r="D187" s="3" t="s">
        <v>837</v>
      </c>
      <c r="E187" s="3" t="s">
        <v>838</v>
      </c>
      <c r="F187" s="3" t="s">
        <v>839</v>
      </c>
      <c r="G187" s="4" t="s">
        <v>18</v>
      </c>
      <c r="H187" s="2"/>
      <c r="I187" s="3"/>
      <c r="J187" s="2"/>
      <c r="K187" s="2"/>
      <c r="L187" s="2"/>
      <c r="M187" s="2"/>
    </row>
    <row r="188" spans="1:13" x14ac:dyDescent="0.25">
      <c r="A188" s="2" t="s">
        <v>840</v>
      </c>
      <c r="B188" s="2" t="s">
        <v>831</v>
      </c>
      <c r="C188" s="2" t="s">
        <v>841</v>
      </c>
      <c r="D188" s="3" t="s">
        <v>842</v>
      </c>
      <c r="E188" s="3" t="s">
        <v>843</v>
      </c>
      <c r="F188" s="3" t="s">
        <v>844</v>
      </c>
      <c r="G188" s="4" t="s">
        <v>18</v>
      </c>
      <c r="H188" s="2"/>
      <c r="I188" s="3"/>
      <c r="J188" s="2"/>
      <c r="K188" s="2"/>
      <c r="L188" s="2"/>
      <c r="M188" s="2"/>
    </row>
    <row r="189" spans="1:13" x14ac:dyDescent="0.25">
      <c r="A189" s="2" t="s">
        <v>845</v>
      </c>
      <c r="B189" s="2" t="s">
        <v>831</v>
      </c>
      <c r="C189" s="2" t="s">
        <v>846</v>
      </c>
      <c r="D189" s="3" t="s">
        <v>847</v>
      </c>
      <c r="E189" s="3" t="s">
        <v>848</v>
      </c>
      <c r="F189" s="3" t="s">
        <v>849</v>
      </c>
      <c r="G189" s="5" t="s">
        <v>31</v>
      </c>
      <c r="H189" s="2"/>
      <c r="I189" s="3"/>
      <c r="J189" s="2"/>
      <c r="K189" s="2"/>
      <c r="L189" s="2"/>
      <c r="M189" s="2"/>
    </row>
    <row r="190" spans="1:13" x14ac:dyDescent="0.25">
      <c r="A190" s="2" t="s">
        <v>850</v>
      </c>
      <c r="B190" s="2" t="s">
        <v>831</v>
      </c>
      <c r="C190" s="2" t="s">
        <v>846</v>
      </c>
      <c r="D190" s="3" t="s">
        <v>851</v>
      </c>
      <c r="E190" s="3" t="s">
        <v>852</v>
      </c>
      <c r="F190" s="3" t="s">
        <v>853</v>
      </c>
      <c r="G190" s="5" t="s">
        <v>31</v>
      </c>
      <c r="H190" s="2"/>
      <c r="I190" s="3"/>
      <c r="J190" s="2"/>
      <c r="K190" s="2"/>
      <c r="L190" s="2"/>
      <c r="M190" s="2"/>
    </row>
    <row r="191" spans="1:13" x14ac:dyDescent="0.25">
      <c r="A191" s="2" t="s">
        <v>854</v>
      </c>
      <c r="B191" s="2" t="s">
        <v>831</v>
      </c>
      <c r="C191" s="2" t="s">
        <v>846</v>
      </c>
      <c r="D191" s="3" t="s">
        <v>855</v>
      </c>
      <c r="E191" s="3" t="s">
        <v>856</v>
      </c>
      <c r="F191" s="3" t="s">
        <v>857</v>
      </c>
      <c r="G191" s="5" t="s">
        <v>31</v>
      </c>
      <c r="H191" s="2"/>
      <c r="I191" s="3"/>
      <c r="J191" s="2"/>
      <c r="K191" s="2"/>
      <c r="L191" s="2"/>
      <c r="M191" s="2"/>
    </row>
    <row r="192" spans="1:13" x14ac:dyDescent="0.25">
      <c r="A192" s="2" t="s">
        <v>858</v>
      </c>
      <c r="B192" s="2" t="s">
        <v>831</v>
      </c>
      <c r="C192" s="2" t="s">
        <v>846</v>
      </c>
      <c r="D192" s="3" t="s">
        <v>859</v>
      </c>
      <c r="E192" s="3" t="s">
        <v>860</v>
      </c>
      <c r="F192" s="3" t="s">
        <v>861</v>
      </c>
      <c r="G192" s="5" t="s">
        <v>31</v>
      </c>
      <c r="H192" s="2"/>
      <c r="I192" s="3"/>
      <c r="J192" s="2"/>
      <c r="K192" s="2"/>
      <c r="L192" s="2"/>
      <c r="M192" s="2"/>
    </row>
    <row r="193" spans="1:13" x14ac:dyDescent="0.25">
      <c r="A193" s="2" t="s">
        <v>862</v>
      </c>
      <c r="B193" s="2" t="s">
        <v>831</v>
      </c>
      <c r="C193" s="2" t="s">
        <v>846</v>
      </c>
      <c r="D193" s="3" t="s">
        <v>863</v>
      </c>
      <c r="E193" s="3" t="s">
        <v>864</v>
      </c>
      <c r="F193" s="3" t="s">
        <v>865</v>
      </c>
      <c r="G193" s="6" t="s">
        <v>77</v>
      </c>
      <c r="H193" s="2"/>
      <c r="I193" s="3"/>
      <c r="J193" s="2"/>
      <c r="K193" s="2"/>
      <c r="L193" s="2"/>
      <c r="M193" s="2"/>
    </row>
    <row r="194" spans="1:13" x14ac:dyDescent="0.25">
      <c r="A194" s="2" t="s">
        <v>866</v>
      </c>
      <c r="B194" s="2" t="s">
        <v>831</v>
      </c>
      <c r="C194" s="2" t="s">
        <v>846</v>
      </c>
      <c r="D194" s="3" t="s">
        <v>867</v>
      </c>
      <c r="E194" s="3" t="s">
        <v>868</v>
      </c>
      <c r="F194" s="3" t="s">
        <v>869</v>
      </c>
      <c r="G194" s="6" t="s">
        <v>77</v>
      </c>
      <c r="H194" s="2"/>
      <c r="I194" s="3"/>
      <c r="J194" s="2"/>
      <c r="K194" s="2"/>
      <c r="L194" s="2"/>
      <c r="M194" s="2"/>
    </row>
    <row r="195" spans="1:13" x14ac:dyDescent="0.25">
      <c r="A195" s="2" t="s">
        <v>870</v>
      </c>
      <c r="B195" s="2" t="s">
        <v>831</v>
      </c>
      <c r="C195" s="2" t="s">
        <v>871</v>
      </c>
      <c r="D195" s="3" t="s">
        <v>872</v>
      </c>
      <c r="E195" s="3" t="s">
        <v>873</v>
      </c>
      <c r="F195" s="3" t="s">
        <v>874</v>
      </c>
      <c r="G195" s="5" t="s">
        <v>31</v>
      </c>
      <c r="H195" s="2"/>
      <c r="I195" s="3"/>
      <c r="J195" s="2"/>
      <c r="K195" s="2"/>
      <c r="L195" s="2"/>
      <c r="M195" s="2"/>
    </row>
    <row r="196" spans="1:13" x14ac:dyDescent="0.25">
      <c r="A196" s="2" t="s">
        <v>875</v>
      </c>
      <c r="B196" s="2" t="s">
        <v>831</v>
      </c>
      <c r="C196" s="2" t="s">
        <v>871</v>
      </c>
      <c r="D196" s="3" t="s">
        <v>876</v>
      </c>
      <c r="E196" s="3" t="s">
        <v>877</v>
      </c>
      <c r="F196" s="3" t="s">
        <v>878</v>
      </c>
      <c r="G196" s="5" t="s">
        <v>31</v>
      </c>
      <c r="H196" s="2"/>
      <c r="I196" s="3"/>
      <c r="J196" s="2"/>
      <c r="K196" s="2"/>
      <c r="L196" s="2"/>
      <c r="M196" s="2"/>
    </row>
    <row r="197" spans="1:13" x14ac:dyDescent="0.25">
      <c r="A197" s="2" t="s">
        <v>879</v>
      </c>
      <c r="B197" s="2" t="s">
        <v>831</v>
      </c>
      <c r="C197" s="2" t="s">
        <v>359</v>
      </c>
      <c r="D197" s="3" t="s">
        <v>880</v>
      </c>
      <c r="E197" s="3" t="s">
        <v>881</v>
      </c>
      <c r="F197" s="3" t="s">
        <v>882</v>
      </c>
      <c r="G197" s="5" t="s">
        <v>31</v>
      </c>
      <c r="H197" s="2"/>
      <c r="I197" s="3"/>
      <c r="J197" s="2"/>
      <c r="K197" s="2"/>
      <c r="L197" s="2"/>
      <c r="M197" s="2"/>
    </row>
    <row r="198" spans="1:13" x14ac:dyDescent="0.25">
      <c r="A198" s="2" t="s">
        <v>883</v>
      </c>
      <c r="B198" s="2" t="s">
        <v>831</v>
      </c>
      <c r="C198" s="2" t="s">
        <v>884</v>
      </c>
      <c r="D198" s="3" t="s">
        <v>885</v>
      </c>
      <c r="E198" s="3" t="s">
        <v>886</v>
      </c>
      <c r="F198" s="3" t="s">
        <v>887</v>
      </c>
      <c r="G198" s="5" t="s">
        <v>31</v>
      </c>
      <c r="H198" s="2"/>
      <c r="I198" s="3"/>
      <c r="J198" s="2"/>
      <c r="K198" s="2"/>
      <c r="L198" s="2"/>
      <c r="M198" s="2"/>
    </row>
    <row r="199" spans="1:13" x14ac:dyDescent="0.25">
      <c r="A199" s="2" t="s">
        <v>888</v>
      </c>
      <c r="B199" s="2" t="s">
        <v>889</v>
      </c>
      <c r="C199" s="2" t="s">
        <v>890</v>
      </c>
      <c r="D199" s="3" t="s">
        <v>891</v>
      </c>
      <c r="E199" s="3" t="s">
        <v>892</v>
      </c>
      <c r="F199" s="3" t="s">
        <v>893</v>
      </c>
      <c r="G199" s="4" t="s">
        <v>18</v>
      </c>
      <c r="H199" s="2"/>
      <c r="I199" s="3"/>
      <c r="J199" s="2"/>
      <c r="K199" s="2"/>
      <c r="L199" s="2"/>
      <c r="M199" s="2"/>
    </row>
    <row r="200" spans="1:13" x14ac:dyDescent="0.25">
      <c r="A200" s="2" t="s">
        <v>894</v>
      </c>
      <c r="B200" s="2" t="s">
        <v>889</v>
      </c>
      <c r="C200" s="2" t="s">
        <v>785</v>
      </c>
      <c r="D200" s="3" t="s">
        <v>895</v>
      </c>
      <c r="E200" s="3" t="s">
        <v>896</v>
      </c>
      <c r="F200" s="3" t="s">
        <v>897</v>
      </c>
      <c r="G200" s="5" t="s">
        <v>31</v>
      </c>
      <c r="H200" s="2"/>
      <c r="I200" s="3"/>
      <c r="J200" s="2"/>
      <c r="K200" s="2"/>
      <c r="L200" s="2"/>
      <c r="M200" s="2"/>
    </row>
    <row r="201" spans="1:13" x14ac:dyDescent="0.25">
      <c r="A201" s="2" t="s">
        <v>898</v>
      </c>
      <c r="B201" s="2" t="s">
        <v>889</v>
      </c>
      <c r="C201" s="2" t="s">
        <v>899</v>
      </c>
      <c r="D201" s="3" t="s">
        <v>900</v>
      </c>
      <c r="E201" s="3" t="s">
        <v>901</v>
      </c>
      <c r="F201" s="3" t="s">
        <v>902</v>
      </c>
      <c r="G201" s="6" t="s">
        <v>77</v>
      </c>
      <c r="H201" s="2"/>
      <c r="I201" s="3"/>
      <c r="J201" s="2"/>
      <c r="K201" s="2"/>
      <c r="L201" s="2"/>
      <c r="M201" s="2"/>
    </row>
    <row r="202" spans="1:13" x14ac:dyDescent="0.25">
      <c r="A202" s="2" t="s">
        <v>903</v>
      </c>
      <c r="B202" s="2" t="s">
        <v>889</v>
      </c>
      <c r="C202" s="2" t="s">
        <v>904</v>
      </c>
      <c r="D202" s="3" t="s">
        <v>905</v>
      </c>
      <c r="E202" s="3" t="s">
        <v>906</v>
      </c>
      <c r="F202" s="3" t="s">
        <v>907</v>
      </c>
      <c r="G202" s="5" t="s">
        <v>31</v>
      </c>
      <c r="H202" s="2"/>
      <c r="I202" s="3"/>
      <c r="J202" s="2"/>
      <c r="K202" s="2"/>
      <c r="L202" s="2"/>
      <c r="M202" s="2"/>
    </row>
    <row r="203" spans="1:13" x14ac:dyDescent="0.25">
      <c r="A203" s="2" t="s">
        <v>908</v>
      </c>
      <c r="B203" s="2" t="s">
        <v>889</v>
      </c>
      <c r="C203" s="2" t="s">
        <v>909</v>
      </c>
      <c r="D203" s="3" t="s">
        <v>910</v>
      </c>
      <c r="E203" s="3" t="s">
        <v>911</v>
      </c>
      <c r="F203" s="3" t="s">
        <v>912</v>
      </c>
      <c r="G203" s="5" t="s">
        <v>31</v>
      </c>
      <c r="H203" s="2"/>
      <c r="I203" s="3"/>
      <c r="J203" s="2"/>
      <c r="K203" s="2"/>
      <c r="L203" s="2"/>
      <c r="M203" s="2"/>
    </row>
    <row r="204" spans="1:13" x14ac:dyDescent="0.25">
      <c r="A204" s="2" t="s">
        <v>913</v>
      </c>
      <c r="B204" s="2" t="s">
        <v>889</v>
      </c>
      <c r="C204" s="2" t="s">
        <v>914</v>
      </c>
      <c r="D204" s="3" t="s">
        <v>915</v>
      </c>
      <c r="E204" s="3" t="s">
        <v>916</v>
      </c>
      <c r="F204" s="3" t="s">
        <v>917</v>
      </c>
      <c r="G204" s="5" t="s">
        <v>31</v>
      </c>
      <c r="H204" s="2"/>
      <c r="I204" s="3"/>
      <c r="J204" s="2"/>
      <c r="K204" s="2"/>
      <c r="L204" s="2"/>
      <c r="M204" s="2"/>
    </row>
    <row r="205" spans="1:13" x14ac:dyDescent="0.25">
      <c r="A205" s="2" t="s">
        <v>918</v>
      </c>
      <c r="B205" s="2" t="s">
        <v>889</v>
      </c>
      <c r="C205" s="2" t="s">
        <v>919</v>
      </c>
      <c r="D205" s="3" t="s">
        <v>920</v>
      </c>
      <c r="E205" s="3" t="s">
        <v>921</v>
      </c>
      <c r="F205" s="3" t="s">
        <v>922</v>
      </c>
      <c r="G205" s="5" t="s">
        <v>31</v>
      </c>
      <c r="H205" s="2"/>
      <c r="I205" s="3"/>
      <c r="J205" s="2"/>
      <c r="K205" s="2"/>
      <c r="L205" s="2"/>
      <c r="M205" s="2"/>
    </row>
    <row r="206" spans="1:13" x14ac:dyDescent="0.25">
      <c r="A206" s="2" t="s">
        <v>923</v>
      </c>
      <c r="B206" s="2" t="s">
        <v>924</v>
      </c>
      <c r="C206" s="2" t="s">
        <v>832</v>
      </c>
      <c r="D206" s="3" t="s">
        <v>925</v>
      </c>
      <c r="E206" s="3" t="s">
        <v>926</v>
      </c>
      <c r="F206" s="3" t="s">
        <v>927</v>
      </c>
      <c r="G206" s="5" t="s">
        <v>31</v>
      </c>
      <c r="H206" s="2"/>
      <c r="I206" s="3"/>
      <c r="J206" s="2"/>
      <c r="K206" s="2"/>
      <c r="L206" s="2"/>
      <c r="M206" s="2"/>
    </row>
    <row r="207" spans="1:13" x14ac:dyDescent="0.25">
      <c r="A207" s="2" t="s">
        <v>928</v>
      </c>
      <c r="B207" s="2" t="s">
        <v>924</v>
      </c>
      <c r="C207" s="2" t="s">
        <v>929</v>
      </c>
      <c r="D207" s="3" t="s">
        <v>929</v>
      </c>
      <c r="E207" s="3" t="s">
        <v>930</v>
      </c>
      <c r="F207" s="3" t="s">
        <v>931</v>
      </c>
      <c r="G207" s="5" t="s">
        <v>31</v>
      </c>
      <c r="H207" s="2"/>
      <c r="I207" s="3"/>
      <c r="J207" s="2"/>
      <c r="K207" s="2"/>
      <c r="L207" s="2"/>
      <c r="M207" s="2"/>
    </row>
    <row r="208" spans="1:13" x14ac:dyDescent="0.25">
      <c r="A208" s="2" t="s">
        <v>932</v>
      </c>
      <c r="B208" s="2" t="s">
        <v>924</v>
      </c>
      <c r="C208" s="2" t="s">
        <v>785</v>
      </c>
      <c r="D208" s="3" t="s">
        <v>933</v>
      </c>
      <c r="E208" s="3" t="s">
        <v>934</v>
      </c>
      <c r="F208" s="3" t="s">
        <v>935</v>
      </c>
      <c r="G208" s="5" t="s">
        <v>31</v>
      </c>
      <c r="H208" s="2"/>
      <c r="I208" s="3"/>
      <c r="J208" s="2"/>
      <c r="K208" s="2"/>
      <c r="L208" s="2"/>
      <c r="M208" s="2"/>
    </row>
    <row r="209" spans="1:13" x14ac:dyDescent="0.25">
      <c r="A209" s="2" t="s">
        <v>936</v>
      </c>
      <c r="B209" s="2" t="s">
        <v>937</v>
      </c>
      <c r="C209" s="2" t="s">
        <v>938</v>
      </c>
      <c r="D209" s="3" t="s">
        <v>939</v>
      </c>
      <c r="E209" s="3" t="s">
        <v>940</v>
      </c>
      <c r="F209" s="3" t="s">
        <v>941</v>
      </c>
      <c r="G209" s="5" t="s">
        <v>31</v>
      </c>
      <c r="H209" s="2"/>
      <c r="I209" s="3"/>
      <c r="J209" s="2"/>
      <c r="K209" s="2"/>
      <c r="L209" s="2"/>
      <c r="M209" s="2"/>
    </row>
    <row r="210" spans="1:13" x14ac:dyDescent="0.25">
      <c r="A210" s="2" t="s">
        <v>942</v>
      </c>
      <c r="B210" s="2" t="s">
        <v>937</v>
      </c>
      <c r="C210" s="2" t="s">
        <v>943</v>
      </c>
      <c r="D210" s="3" t="s">
        <v>944</v>
      </c>
      <c r="E210" s="3" t="s">
        <v>945</v>
      </c>
      <c r="F210" s="3" t="s">
        <v>946</v>
      </c>
      <c r="G210" s="5" t="s">
        <v>31</v>
      </c>
      <c r="H210" s="2"/>
      <c r="I210" s="3"/>
      <c r="J210" s="2"/>
      <c r="K210" s="2"/>
      <c r="L210" s="2"/>
      <c r="M210" s="2"/>
    </row>
    <row r="211" spans="1:13" x14ac:dyDescent="0.25">
      <c r="A211" s="2" t="s">
        <v>947</v>
      </c>
      <c r="B211" s="2" t="s">
        <v>937</v>
      </c>
      <c r="C211" s="2" t="s">
        <v>948</v>
      </c>
      <c r="D211" s="3" t="s">
        <v>949</v>
      </c>
      <c r="E211" s="3" t="s">
        <v>950</v>
      </c>
      <c r="F211" s="3" t="s">
        <v>951</v>
      </c>
      <c r="G211" s="6" t="s">
        <v>77</v>
      </c>
      <c r="H211" s="2"/>
      <c r="I211" s="3"/>
      <c r="J211" s="2"/>
      <c r="K211" s="2"/>
      <c r="L211" s="2"/>
      <c r="M211" s="2"/>
    </row>
    <row r="212" spans="1:13" x14ac:dyDescent="0.25">
      <c r="A212" s="2" t="s">
        <v>952</v>
      </c>
      <c r="B212" s="2" t="s">
        <v>260</v>
      </c>
      <c r="C212" s="2" t="s">
        <v>953</v>
      </c>
      <c r="D212" s="3" t="s">
        <v>954</v>
      </c>
      <c r="E212" s="3" t="s">
        <v>955</v>
      </c>
      <c r="F212" s="3" t="s">
        <v>956</v>
      </c>
      <c r="G212" s="4" t="s">
        <v>18</v>
      </c>
      <c r="H212" s="2"/>
      <c r="I212" s="3"/>
      <c r="J212" s="2"/>
      <c r="K212" s="2"/>
      <c r="L212" s="2"/>
      <c r="M212" s="2"/>
    </row>
    <row r="213" spans="1:13" x14ac:dyDescent="0.25">
      <c r="A213" s="2" t="s">
        <v>957</v>
      </c>
      <c r="B213" s="2" t="s">
        <v>260</v>
      </c>
      <c r="C213" s="2" t="s">
        <v>953</v>
      </c>
      <c r="D213" s="3" t="s">
        <v>958</v>
      </c>
      <c r="E213" s="3" t="s">
        <v>959</v>
      </c>
      <c r="F213" s="3" t="s">
        <v>960</v>
      </c>
      <c r="G213" s="4" t="s">
        <v>18</v>
      </c>
      <c r="H213" s="2"/>
      <c r="I213" s="3"/>
      <c r="J213" s="2"/>
      <c r="K213" s="2"/>
      <c r="L213" s="2"/>
      <c r="M213" s="2"/>
    </row>
    <row r="214" spans="1:13" x14ac:dyDescent="0.25">
      <c r="A214" s="2" t="s">
        <v>961</v>
      </c>
      <c r="B214" s="2" t="s">
        <v>260</v>
      </c>
      <c r="C214" s="2" t="s">
        <v>962</v>
      </c>
      <c r="D214" s="3" t="s">
        <v>963</v>
      </c>
      <c r="E214" s="3" t="s">
        <v>964</v>
      </c>
      <c r="F214" s="3" t="s">
        <v>965</v>
      </c>
      <c r="G214" s="5" t="s">
        <v>31</v>
      </c>
      <c r="H214" s="2"/>
      <c r="I214" s="3"/>
      <c r="J214" s="2"/>
      <c r="K214" s="2"/>
      <c r="L214" s="2"/>
      <c r="M214" s="2"/>
    </row>
    <row r="215" spans="1:13" x14ac:dyDescent="0.25">
      <c r="A215" s="2" t="s">
        <v>966</v>
      </c>
      <c r="B215" s="2" t="s">
        <v>260</v>
      </c>
      <c r="C215" s="2" t="s">
        <v>967</v>
      </c>
      <c r="D215" s="3" t="s">
        <v>968</v>
      </c>
      <c r="E215" s="3" t="s">
        <v>969</v>
      </c>
      <c r="F215" s="3" t="s">
        <v>970</v>
      </c>
      <c r="G215" s="5" t="s">
        <v>31</v>
      </c>
      <c r="H215" s="2"/>
      <c r="I215" s="3"/>
      <c r="J215" s="2"/>
      <c r="K215" s="2"/>
      <c r="L215" s="2"/>
      <c r="M215" s="2"/>
    </row>
    <row r="216" spans="1:13" x14ac:dyDescent="0.25">
      <c r="A216" s="2" t="s">
        <v>971</v>
      </c>
      <c r="B216" s="2" t="s">
        <v>260</v>
      </c>
      <c r="C216" s="2" t="s">
        <v>972</v>
      </c>
      <c r="D216" s="3" t="s">
        <v>973</v>
      </c>
      <c r="E216" s="3" t="s">
        <v>974</v>
      </c>
      <c r="F216" s="3" t="s">
        <v>975</v>
      </c>
      <c r="G216" s="5" t="s">
        <v>31</v>
      </c>
      <c r="H216" s="2"/>
      <c r="I216" s="3"/>
      <c r="J216" s="2"/>
      <c r="K216" s="2"/>
      <c r="L216" s="2"/>
      <c r="M216" s="2"/>
    </row>
    <row r="217" spans="1:13" x14ac:dyDescent="0.25">
      <c r="A217" s="2" t="s">
        <v>976</v>
      </c>
      <c r="B217" s="2" t="s">
        <v>260</v>
      </c>
      <c r="C217" s="2" t="s">
        <v>977</v>
      </c>
      <c r="D217" s="3" t="s">
        <v>978</v>
      </c>
      <c r="E217" s="3" t="s">
        <v>979</v>
      </c>
      <c r="F217" s="3" t="s">
        <v>980</v>
      </c>
      <c r="G217" s="5" t="s">
        <v>31</v>
      </c>
      <c r="H217" s="2"/>
      <c r="I217" s="3"/>
      <c r="J217" s="2"/>
      <c r="K217" s="2"/>
      <c r="L217" s="2"/>
      <c r="M217" s="2"/>
    </row>
    <row r="218" spans="1:13" x14ac:dyDescent="0.25">
      <c r="A218" s="2" t="s">
        <v>981</v>
      </c>
      <c r="B218" s="2" t="s">
        <v>260</v>
      </c>
      <c r="C218" s="2" t="s">
        <v>982</v>
      </c>
      <c r="D218" s="3" t="s">
        <v>983</v>
      </c>
      <c r="E218" s="3" t="s">
        <v>984</v>
      </c>
      <c r="F218" s="3" t="s">
        <v>985</v>
      </c>
      <c r="G218" s="4" t="s">
        <v>18</v>
      </c>
      <c r="H218" s="2"/>
      <c r="I218" s="3"/>
      <c r="J218" s="2"/>
      <c r="K218" s="2"/>
      <c r="L218" s="2"/>
      <c r="M218" s="2"/>
    </row>
    <row r="219" spans="1:13" x14ac:dyDescent="0.25">
      <c r="A219" s="2" t="s">
        <v>986</v>
      </c>
      <c r="B219" s="2" t="s">
        <v>260</v>
      </c>
      <c r="C219" s="2" t="s">
        <v>987</v>
      </c>
      <c r="D219" s="3" t="s">
        <v>988</v>
      </c>
      <c r="E219" s="3" t="s">
        <v>989</v>
      </c>
      <c r="F219" s="3" t="s">
        <v>990</v>
      </c>
      <c r="G219" s="5" t="s">
        <v>31</v>
      </c>
      <c r="H219" s="2"/>
      <c r="I219" s="3"/>
      <c r="J219" s="2"/>
      <c r="K219" s="2"/>
      <c r="L219" s="2"/>
      <c r="M219" s="2"/>
    </row>
    <row r="220" spans="1:13" x14ac:dyDescent="0.25">
      <c r="A220" s="2" t="s">
        <v>991</v>
      </c>
      <c r="B220" s="2" t="s">
        <v>992</v>
      </c>
      <c r="C220" s="2" t="s">
        <v>993</v>
      </c>
      <c r="D220" s="3" t="s">
        <v>994</v>
      </c>
      <c r="E220" s="3" t="s">
        <v>995</v>
      </c>
      <c r="F220" s="3" t="s">
        <v>996</v>
      </c>
      <c r="G220" s="5" t="s">
        <v>31</v>
      </c>
      <c r="H220" s="2"/>
      <c r="I220" s="3"/>
      <c r="J220" s="2"/>
      <c r="K220" s="2"/>
      <c r="L220" s="2"/>
      <c r="M220" s="2"/>
    </row>
    <row r="221" spans="1:13" x14ac:dyDescent="0.25">
      <c r="A221" s="2" t="s">
        <v>997</v>
      </c>
      <c r="B221" s="2" t="s">
        <v>992</v>
      </c>
      <c r="C221" s="2" t="s">
        <v>227</v>
      </c>
      <c r="D221" s="3" t="s">
        <v>998</v>
      </c>
      <c r="E221" s="3" t="s">
        <v>999</v>
      </c>
      <c r="F221" s="3" t="s">
        <v>1000</v>
      </c>
      <c r="G221" s="5" t="s">
        <v>31</v>
      </c>
      <c r="H221" s="2"/>
      <c r="I221" s="3"/>
      <c r="J221" s="2"/>
      <c r="K221" s="2"/>
      <c r="L221" s="2"/>
      <c r="M221" s="2"/>
    </row>
    <row r="222" spans="1:13" x14ac:dyDescent="0.25">
      <c r="A222" s="2" t="s">
        <v>1001</v>
      </c>
      <c r="B222" s="2" t="s">
        <v>992</v>
      </c>
      <c r="C222" s="2" t="s">
        <v>1002</v>
      </c>
      <c r="D222" s="3" t="s">
        <v>1003</v>
      </c>
      <c r="E222" s="3" t="s">
        <v>1004</v>
      </c>
      <c r="F222" s="3" t="s">
        <v>1005</v>
      </c>
      <c r="G222" s="5" t="s">
        <v>31</v>
      </c>
      <c r="H222" s="2"/>
      <c r="I222" s="3"/>
      <c r="J222" s="2"/>
      <c r="K222" s="2"/>
      <c r="L222" s="2"/>
      <c r="M222" s="2"/>
    </row>
    <row r="223" spans="1:13" x14ac:dyDescent="0.25">
      <c r="A223" s="2" t="s">
        <v>1006</v>
      </c>
      <c r="B223" s="2" t="s">
        <v>992</v>
      </c>
      <c r="C223" s="2" t="s">
        <v>1002</v>
      </c>
      <c r="D223" s="3" t="s">
        <v>1007</v>
      </c>
      <c r="E223" s="3" t="s">
        <v>1008</v>
      </c>
      <c r="F223" s="3" t="s">
        <v>1009</v>
      </c>
      <c r="G223" s="6" t="s">
        <v>77</v>
      </c>
      <c r="H223" s="2"/>
      <c r="I223" s="3"/>
      <c r="J223" s="2"/>
      <c r="K223" s="2"/>
      <c r="L223" s="2"/>
      <c r="M223" s="2"/>
    </row>
    <row r="224" spans="1:13" x14ac:dyDescent="0.25">
      <c r="A224" s="2" t="s">
        <v>1010</v>
      </c>
      <c r="B224" s="2" t="s">
        <v>992</v>
      </c>
      <c r="C224" s="2" t="s">
        <v>1002</v>
      </c>
      <c r="D224" s="3" t="s">
        <v>1011</v>
      </c>
      <c r="E224" s="3" t="s">
        <v>1012</v>
      </c>
      <c r="F224" s="3" t="s">
        <v>1013</v>
      </c>
      <c r="G224" s="6" t="s">
        <v>77</v>
      </c>
      <c r="H224" s="2"/>
      <c r="I224" s="3"/>
      <c r="J224" s="2"/>
      <c r="K224" s="2"/>
      <c r="L224" s="2"/>
      <c r="M224" s="2"/>
    </row>
    <row r="225" spans="1:13" x14ac:dyDescent="0.25">
      <c r="A225" s="2" t="s">
        <v>1014</v>
      </c>
      <c r="B225" s="2" t="s">
        <v>992</v>
      </c>
      <c r="C225" s="2" t="s">
        <v>1015</v>
      </c>
      <c r="D225" s="3" t="s">
        <v>1016</v>
      </c>
      <c r="E225" s="3" t="s">
        <v>1017</v>
      </c>
      <c r="F225" s="3" t="s">
        <v>1018</v>
      </c>
      <c r="G225" s="6" t="s">
        <v>77</v>
      </c>
      <c r="H225" s="2"/>
      <c r="I225" s="3"/>
      <c r="J225" s="2"/>
      <c r="K225" s="2"/>
      <c r="L225" s="2"/>
      <c r="M225" s="2"/>
    </row>
    <row r="226" spans="1:13" x14ac:dyDescent="0.25">
      <c r="A226" s="2" t="s">
        <v>1019</v>
      </c>
      <c r="B226" s="2" t="s">
        <v>992</v>
      </c>
      <c r="C226" s="2" t="s">
        <v>1015</v>
      </c>
      <c r="D226" s="3" t="s">
        <v>1020</v>
      </c>
      <c r="E226" s="3" t="s">
        <v>1021</v>
      </c>
      <c r="F226" s="3" t="s">
        <v>1022</v>
      </c>
      <c r="G226" s="6" t="s">
        <v>77</v>
      </c>
      <c r="H226" s="2"/>
      <c r="I226" s="3"/>
      <c r="J226" s="2"/>
      <c r="K226" s="2"/>
      <c r="L226" s="2"/>
      <c r="M226" s="2"/>
    </row>
    <row r="227" spans="1:13" x14ac:dyDescent="0.25">
      <c r="A227" s="2" t="s">
        <v>1023</v>
      </c>
      <c r="B227" s="2" t="s">
        <v>1024</v>
      </c>
      <c r="C227" s="2" t="s">
        <v>1025</v>
      </c>
      <c r="D227" s="3" t="s">
        <v>1026</v>
      </c>
      <c r="E227" s="3" t="s">
        <v>1027</v>
      </c>
      <c r="F227" s="3" t="s">
        <v>1028</v>
      </c>
      <c r="G227" s="5" t="s">
        <v>31</v>
      </c>
      <c r="H227" s="2"/>
      <c r="I227" s="3"/>
      <c r="J227" s="2"/>
      <c r="K227" s="2"/>
      <c r="L227" s="2"/>
      <c r="M227" s="2"/>
    </row>
    <row r="228" spans="1:13" x14ac:dyDescent="0.25">
      <c r="A228" s="2" t="s">
        <v>1029</v>
      </c>
      <c r="B228" s="2" t="s">
        <v>1024</v>
      </c>
      <c r="C228" s="2" t="s">
        <v>1030</v>
      </c>
      <c r="D228" s="3" t="s">
        <v>1031</v>
      </c>
      <c r="E228" s="3" t="s">
        <v>1032</v>
      </c>
      <c r="F228" s="3" t="s">
        <v>422</v>
      </c>
      <c r="G228" s="5" t="s">
        <v>31</v>
      </c>
      <c r="H228" s="2"/>
      <c r="I228" s="3"/>
      <c r="J228" s="2"/>
      <c r="K228" s="2"/>
      <c r="L228" s="2"/>
      <c r="M228" s="2"/>
    </row>
    <row r="229" spans="1:13" x14ac:dyDescent="0.25">
      <c r="A229" s="2" t="s">
        <v>1033</v>
      </c>
      <c r="B229" s="2" t="s">
        <v>1024</v>
      </c>
      <c r="C229" s="2" t="s">
        <v>1030</v>
      </c>
      <c r="D229" s="3" t="s">
        <v>1034</v>
      </c>
      <c r="E229" s="3" t="s">
        <v>1035</v>
      </c>
      <c r="F229" s="3" t="s">
        <v>1036</v>
      </c>
      <c r="G229" s="5" t="s">
        <v>31</v>
      </c>
      <c r="H229" s="2"/>
      <c r="I229" s="3"/>
      <c r="J229" s="2"/>
      <c r="K229" s="2"/>
      <c r="L229" s="2"/>
      <c r="M229" s="2"/>
    </row>
    <row r="230" spans="1:13" x14ac:dyDescent="0.25">
      <c r="A230" s="2" t="s">
        <v>1037</v>
      </c>
      <c r="B230" s="2" t="s">
        <v>1024</v>
      </c>
      <c r="C230" s="2" t="s">
        <v>1030</v>
      </c>
      <c r="D230" s="3" t="s">
        <v>1038</v>
      </c>
      <c r="E230" s="3" t="s">
        <v>1039</v>
      </c>
      <c r="F230" s="3" t="s">
        <v>1040</v>
      </c>
      <c r="G230" s="5" t="s">
        <v>31</v>
      </c>
      <c r="H230" s="2"/>
      <c r="I230" s="3"/>
      <c r="J230" s="2"/>
      <c r="K230" s="2"/>
      <c r="L230" s="2"/>
      <c r="M230" s="2"/>
    </row>
    <row r="231" spans="1:13" x14ac:dyDescent="0.25">
      <c r="A231" s="2" t="s">
        <v>1041</v>
      </c>
      <c r="B231" s="2" t="s">
        <v>1024</v>
      </c>
      <c r="C231" s="2" t="s">
        <v>1030</v>
      </c>
      <c r="D231" s="3" t="s">
        <v>1042</v>
      </c>
      <c r="E231" s="3" t="s">
        <v>1043</v>
      </c>
      <c r="F231" s="3" t="s">
        <v>749</v>
      </c>
      <c r="G231" s="6" t="s">
        <v>77</v>
      </c>
      <c r="H231" s="2"/>
      <c r="I231" s="3"/>
      <c r="J231" s="2"/>
      <c r="K231" s="2"/>
      <c r="L231" s="2"/>
      <c r="M231" s="2"/>
    </row>
    <row r="232" spans="1:13" x14ac:dyDescent="0.25">
      <c r="A232" s="2" t="s">
        <v>1044</v>
      </c>
      <c r="B232" s="2" t="s">
        <v>1024</v>
      </c>
      <c r="C232" s="2" t="s">
        <v>1030</v>
      </c>
      <c r="D232" s="3" t="s">
        <v>1045</v>
      </c>
      <c r="E232" s="3" t="s">
        <v>1046</v>
      </c>
      <c r="F232" s="3" t="s">
        <v>1047</v>
      </c>
      <c r="G232" s="6" t="s">
        <v>77</v>
      </c>
      <c r="H232" s="2"/>
      <c r="I232" s="3"/>
      <c r="J232" s="2"/>
      <c r="K232" s="2"/>
      <c r="L232" s="2"/>
      <c r="M232" s="2"/>
    </row>
    <row r="233" spans="1:13" x14ac:dyDescent="0.25">
      <c r="A233" s="2" t="s">
        <v>1048</v>
      </c>
      <c r="B233" s="2" t="s">
        <v>1049</v>
      </c>
      <c r="C233" s="2" t="s">
        <v>1050</v>
      </c>
      <c r="D233" s="3" t="s">
        <v>1051</v>
      </c>
      <c r="E233" s="3" t="s">
        <v>1052</v>
      </c>
      <c r="F233" s="3" t="s">
        <v>1053</v>
      </c>
      <c r="G233" s="5" t="s">
        <v>31</v>
      </c>
      <c r="H233" s="2"/>
      <c r="I233" s="3"/>
      <c r="J233" s="2"/>
      <c r="K233" s="2"/>
      <c r="L233" s="2"/>
      <c r="M233" s="2"/>
    </row>
    <row r="234" spans="1:13" x14ac:dyDescent="0.25">
      <c r="A234" s="2" t="s">
        <v>1054</v>
      </c>
      <c r="B234" s="2" t="s">
        <v>1049</v>
      </c>
      <c r="C234" s="2" t="s">
        <v>1055</v>
      </c>
      <c r="D234" s="3" t="s">
        <v>1056</v>
      </c>
      <c r="E234" s="3" t="s">
        <v>1057</v>
      </c>
      <c r="F234" s="3" t="s">
        <v>1058</v>
      </c>
      <c r="G234" s="5" t="s">
        <v>31</v>
      </c>
      <c r="H234" s="2"/>
      <c r="I234" s="3"/>
      <c r="J234" s="2"/>
      <c r="K234" s="2"/>
      <c r="L234" s="2"/>
      <c r="M234" s="2"/>
    </row>
    <row r="235" spans="1:13" x14ac:dyDescent="0.25">
      <c r="A235" s="2" t="s">
        <v>1059</v>
      </c>
      <c r="B235" s="2" t="s">
        <v>1049</v>
      </c>
      <c r="C235" s="2" t="s">
        <v>1060</v>
      </c>
      <c r="D235" s="3" t="s">
        <v>1061</v>
      </c>
      <c r="E235" s="3" t="s">
        <v>1062</v>
      </c>
      <c r="F235" s="3" t="s">
        <v>1063</v>
      </c>
      <c r="G235" s="5" t="s">
        <v>31</v>
      </c>
      <c r="H235" s="2"/>
      <c r="I235" s="3"/>
      <c r="J235" s="2"/>
      <c r="K235" s="2"/>
      <c r="L235" s="2"/>
      <c r="M235" s="2"/>
    </row>
    <row r="236" spans="1:13" x14ac:dyDescent="0.25">
      <c r="A236" s="2" t="s">
        <v>1064</v>
      </c>
      <c r="B236" s="2" t="s">
        <v>1049</v>
      </c>
      <c r="C236" s="2" t="s">
        <v>1065</v>
      </c>
      <c r="D236" s="3" t="s">
        <v>1066</v>
      </c>
      <c r="E236" s="3" t="s">
        <v>1067</v>
      </c>
      <c r="F236" s="3" t="s">
        <v>1068</v>
      </c>
      <c r="G236" s="6" t="s">
        <v>77</v>
      </c>
      <c r="H236" s="2"/>
      <c r="I236" s="3"/>
      <c r="J236" s="2"/>
      <c r="K236" s="2"/>
      <c r="L236" s="2"/>
      <c r="M236" s="2"/>
    </row>
    <row r="237" spans="1:13" x14ac:dyDescent="0.25">
      <c r="A237" s="2" t="s">
        <v>1069</v>
      </c>
      <c r="B237" s="2" t="s">
        <v>1070</v>
      </c>
      <c r="C237" s="2" t="s">
        <v>666</v>
      </c>
      <c r="D237" s="3" t="s">
        <v>1071</v>
      </c>
      <c r="E237" s="3" t="s">
        <v>1072</v>
      </c>
      <c r="F237" s="3" t="s">
        <v>1073</v>
      </c>
      <c r="G237" s="4" t="s">
        <v>18</v>
      </c>
      <c r="H237" s="2"/>
      <c r="I237" s="3"/>
      <c r="J237" s="2"/>
      <c r="K237" s="2"/>
      <c r="L237" s="2"/>
      <c r="M237" s="2"/>
    </row>
    <row r="238" spans="1:13" x14ac:dyDescent="0.25">
      <c r="A238" s="2" t="s">
        <v>1074</v>
      </c>
      <c r="B238" s="2" t="s">
        <v>1070</v>
      </c>
      <c r="C238" s="2" t="s">
        <v>1075</v>
      </c>
      <c r="D238" s="3" t="s">
        <v>1075</v>
      </c>
      <c r="E238" s="3" t="s">
        <v>1076</v>
      </c>
      <c r="F238" s="3" t="s">
        <v>1077</v>
      </c>
      <c r="G238" s="6" t="s">
        <v>77</v>
      </c>
      <c r="H238" s="2"/>
      <c r="I238" s="3"/>
      <c r="J238" s="2"/>
      <c r="K238" s="2"/>
      <c r="L238" s="2"/>
      <c r="M238" s="2"/>
    </row>
    <row r="239" spans="1:13" x14ac:dyDescent="0.25">
      <c r="A239" s="2" t="s">
        <v>1078</v>
      </c>
      <c r="B239" s="2" t="s">
        <v>1070</v>
      </c>
      <c r="C239" s="2" t="s">
        <v>1079</v>
      </c>
      <c r="D239" s="3" t="s">
        <v>1080</v>
      </c>
      <c r="E239" s="3" t="s">
        <v>1081</v>
      </c>
      <c r="F239" s="3" t="s">
        <v>1077</v>
      </c>
      <c r="G239" s="6" t="s">
        <v>77</v>
      </c>
      <c r="H239" s="2"/>
      <c r="I239" s="3"/>
      <c r="J239" s="2"/>
      <c r="K239" s="2"/>
      <c r="L239" s="2"/>
      <c r="M239" s="2"/>
    </row>
    <row r="240" spans="1:13" x14ac:dyDescent="0.25">
      <c r="A240" s="2" t="s">
        <v>1082</v>
      </c>
      <c r="B240" s="2" t="s">
        <v>1070</v>
      </c>
      <c r="C240" s="2" t="s">
        <v>1083</v>
      </c>
      <c r="D240" s="3" t="s">
        <v>1083</v>
      </c>
      <c r="E240" s="3" t="s">
        <v>1084</v>
      </c>
      <c r="F240" s="3" t="s">
        <v>1085</v>
      </c>
      <c r="G240" s="6" t="s">
        <v>77</v>
      </c>
      <c r="H240" s="2"/>
      <c r="I240" s="3"/>
      <c r="J240" s="2"/>
      <c r="K240" s="2"/>
      <c r="L240" s="2"/>
      <c r="M240" s="2"/>
    </row>
    <row r="241" spans="1:13" x14ac:dyDescent="0.25">
      <c r="A241" s="2" t="s">
        <v>1086</v>
      </c>
      <c r="B241" s="2" t="s">
        <v>1070</v>
      </c>
      <c r="C241" s="2" t="s">
        <v>1087</v>
      </c>
      <c r="D241" s="3" t="s">
        <v>1087</v>
      </c>
      <c r="E241" s="3" t="s">
        <v>1088</v>
      </c>
      <c r="F241" s="3" t="s">
        <v>1089</v>
      </c>
      <c r="G241" s="5" t="s">
        <v>31</v>
      </c>
      <c r="H241" s="2"/>
      <c r="I241" s="3"/>
      <c r="J241" s="2"/>
      <c r="K241" s="2"/>
      <c r="L241" s="2"/>
      <c r="M241" s="2"/>
    </row>
    <row r="242" spans="1:13" x14ac:dyDescent="0.25">
      <c r="A242" s="2" t="s">
        <v>1090</v>
      </c>
      <c r="B242" s="2" t="s">
        <v>1070</v>
      </c>
      <c r="C242" s="2" t="s">
        <v>1091</v>
      </c>
      <c r="D242" s="3" t="s">
        <v>1092</v>
      </c>
      <c r="E242" s="3" t="s">
        <v>1093</v>
      </c>
      <c r="F242" s="3" t="s">
        <v>1094</v>
      </c>
      <c r="G242" s="5" t="s">
        <v>31</v>
      </c>
      <c r="H242" s="2"/>
      <c r="I242" s="3"/>
      <c r="J242" s="2"/>
      <c r="K242" s="2"/>
      <c r="L242" s="2"/>
      <c r="M242" s="2"/>
    </row>
    <row r="243" spans="1:13" x14ac:dyDescent="0.25">
      <c r="A243" s="2" t="s">
        <v>1095</v>
      </c>
      <c r="B243" s="2" t="s">
        <v>1070</v>
      </c>
      <c r="C243" s="2" t="s">
        <v>897</v>
      </c>
      <c r="D243" s="3" t="s">
        <v>897</v>
      </c>
      <c r="E243" s="3" t="s">
        <v>1096</v>
      </c>
      <c r="F243" s="3" t="s">
        <v>1077</v>
      </c>
      <c r="G243" s="6" t="s">
        <v>77</v>
      </c>
      <c r="H243" s="2"/>
      <c r="I243" s="3"/>
      <c r="J243" s="2"/>
      <c r="K243" s="2"/>
      <c r="L243" s="2"/>
      <c r="M243" s="2"/>
    </row>
    <row r="244" spans="1:13" x14ac:dyDescent="0.25">
      <c r="A244" s="2" t="s">
        <v>1097</v>
      </c>
      <c r="B244" s="2" t="s">
        <v>1070</v>
      </c>
      <c r="C244" s="2" t="s">
        <v>1098</v>
      </c>
      <c r="D244" s="3" t="s">
        <v>1099</v>
      </c>
      <c r="E244" s="3" t="s">
        <v>1100</v>
      </c>
      <c r="F244" s="3" t="s">
        <v>829</v>
      </c>
      <c r="G244" s="5" t="s">
        <v>31</v>
      </c>
      <c r="H244" s="2"/>
      <c r="I244" s="3"/>
      <c r="J244" s="2"/>
      <c r="K244" s="2"/>
      <c r="L244" s="2"/>
      <c r="M244" s="2"/>
    </row>
    <row r="245" spans="1:13" x14ac:dyDescent="0.25">
      <c r="A245" s="2" t="s">
        <v>1101</v>
      </c>
      <c r="B245" s="2" t="s">
        <v>1070</v>
      </c>
      <c r="C245" s="2" t="s">
        <v>1098</v>
      </c>
      <c r="D245" s="3" t="s">
        <v>1102</v>
      </c>
      <c r="E245" s="3" t="s">
        <v>1103</v>
      </c>
      <c r="F245" s="3" t="s">
        <v>829</v>
      </c>
      <c r="G245" s="5" t="s">
        <v>31</v>
      </c>
      <c r="H245" s="2"/>
      <c r="I245" s="3"/>
      <c r="J245" s="2"/>
      <c r="K245" s="2"/>
      <c r="L245" s="2"/>
      <c r="M245" s="2"/>
    </row>
    <row r="246" spans="1:13" x14ac:dyDescent="0.25">
      <c r="A246" s="2" t="s">
        <v>1104</v>
      </c>
      <c r="B246" s="2" t="s">
        <v>1070</v>
      </c>
      <c r="C246" s="2" t="s">
        <v>1098</v>
      </c>
      <c r="D246" s="3" t="s">
        <v>1105</v>
      </c>
      <c r="E246" s="3" t="s">
        <v>1106</v>
      </c>
      <c r="F246" s="3" t="s">
        <v>1107</v>
      </c>
      <c r="G246" s="5" t="s">
        <v>31</v>
      </c>
      <c r="H246" s="2"/>
      <c r="I246" s="3"/>
      <c r="J246" s="2"/>
      <c r="K246" s="2"/>
      <c r="L246" s="2"/>
      <c r="M246" s="2"/>
    </row>
    <row r="247" spans="1:13" x14ac:dyDescent="0.25">
      <c r="A247" s="2" t="s">
        <v>1108</v>
      </c>
      <c r="B247" s="2" t="s">
        <v>1070</v>
      </c>
      <c r="C247" s="2" t="s">
        <v>1109</v>
      </c>
      <c r="D247" s="3" t="s">
        <v>1110</v>
      </c>
      <c r="E247" s="3" t="s">
        <v>1111</v>
      </c>
      <c r="F247" s="3" t="s">
        <v>1112</v>
      </c>
      <c r="G247" s="6" t="s">
        <v>77</v>
      </c>
      <c r="H247" s="2"/>
      <c r="I247" s="3"/>
      <c r="J247" s="2"/>
      <c r="K247" s="2"/>
      <c r="L247" s="2"/>
      <c r="M247" s="2"/>
    </row>
    <row r="248" spans="1:13" x14ac:dyDescent="0.25">
      <c r="A248" s="2" t="s">
        <v>1113</v>
      </c>
      <c r="B248" s="2" t="s">
        <v>1070</v>
      </c>
      <c r="C248" s="2" t="s">
        <v>826</v>
      </c>
      <c r="D248" s="3" t="s">
        <v>1114</v>
      </c>
      <c r="E248" s="3" t="s">
        <v>1115</v>
      </c>
      <c r="F248" s="3" t="s">
        <v>829</v>
      </c>
      <c r="G248" s="5" t="s">
        <v>31</v>
      </c>
      <c r="H248" s="2"/>
      <c r="I248" s="3"/>
      <c r="J248" s="2"/>
      <c r="K248" s="2"/>
      <c r="L248" s="2"/>
      <c r="M248" s="2"/>
    </row>
    <row r="249" spans="1:13" x14ac:dyDescent="0.25">
      <c r="A249" s="2" t="s">
        <v>1116</v>
      </c>
      <c r="B249" s="2" t="s">
        <v>1070</v>
      </c>
      <c r="C249" s="2" t="s">
        <v>1117</v>
      </c>
      <c r="D249" s="3" t="s">
        <v>1118</v>
      </c>
      <c r="E249" s="3" t="s">
        <v>1119</v>
      </c>
      <c r="F249" s="3" t="s">
        <v>1077</v>
      </c>
      <c r="G249" s="6" t="s">
        <v>77</v>
      </c>
      <c r="H249" s="2"/>
      <c r="I249" s="3"/>
      <c r="J249" s="2"/>
      <c r="K249" s="2"/>
      <c r="L249" s="2"/>
      <c r="M249" s="2"/>
    </row>
    <row r="250" spans="1:13" x14ac:dyDescent="0.25">
      <c r="A250" s="2" t="s">
        <v>1120</v>
      </c>
      <c r="B250" s="2" t="s">
        <v>1070</v>
      </c>
      <c r="C250" s="2" t="s">
        <v>1117</v>
      </c>
      <c r="D250" s="3" t="s">
        <v>1121</v>
      </c>
      <c r="E250" s="3" t="s">
        <v>1122</v>
      </c>
      <c r="F250" s="3" t="s">
        <v>1123</v>
      </c>
      <c r="G250" s="6" t="s">
        <v>77</v>
      </c>
      <c r="H250" s="2"/>
      <c r="I250" s="3"/>
      <c r="J250" s="2"/>
      <c r="K250" s="2"/>
      <c r="L250" s="2"/>
      <c r="M250" s="2"/>
    </row>
    <row r="251" spans="1:13" x14ac:dyDescent="0.25">
      <c r="A251" s="2" t="s">
        <v>1124</v>
      </c>
      <c r="B251" s="2" t="s">
        <v>1070</v>
      </c>
      <c r="C251" s="2" t="s">
        <v>1125</v>
      </c>
      <c r="D251" s="3" t="s">
        <v>348</v>
      </c>
      <c r="E251" s="3" t="s">
        <v>1126</v>
      </c>
      <c r="F251" s="3" t="s">
        <v>1077</v>
      </c>
      <c r="G251" s="6" t="s">
        <v>77</v>
      </c>
      <c r="H251" s="2"/>
      <c r="I251" s="3"/>
      <c r="J251" s="2"/>
      <c r="K251" s="2"/>
      <c r="L251" s="2"/>
      <c r="M251" s="2"/>
    </row>
    <row r="252" spans="1:13" x14ac:dyDescent="0.25">
      <c r="A252" s="2" t="s">
        <v>1127</v>
      </c>
      <c r="B252" s="2" t="s">
        <v>1070</v>
      </c>
      <c r="C252" s="2" t="s">
        <v>1128</v>
      </c>
      <c r="D252" s="3" t="s">
        <v>1129</v>
      </c>
      <c r="E252" s="3" t="s">
        <v>1130</v>
      </c>
      <c r="F252" s="3" t="s">
        <v>990</v>
      </c>
      <c r="G252" s="5" t="s">
        <v>31</v>
      </c>
      <c r="H252" s="2"/>
      <c r="I252" s="3"/>
      <c r="J252" s="2"/>
      <c r="K252" s="2"/>
      <c r="L252" s="2"/>
      <c r="M252" s="2"/>
    </row>
    <row r="253" spans="1:13" x14ac:dyDescent="0.25">
      <c r="A253" s="2" t="s">
        <v>1131</v>
      </c>
      <c r="B253" s="2" t="s">
        <v>1070</v>
      </c>
      <c r="C253" s="2" t="s">
        <v>1128</v>
      </c>
      <c r="D253" s="3" t="s">
        <v>1132</v>
      </c>
      <c r="E253" s="3" t="s">
        <v>1133</v>
      </c>
      <c r="F253" s="3" t="s">
        <v>1134</v>
      </c>
      <c r="G253" s="5" t="s">
        <v>31</v>
      </c>
      <c r="H253" s="2"/>
      <c r="I253" s="3"/>
      <c r="J253" s="2"/>
      <c r="K253" s="2"/>
      <c r="L253" s="2"/>
      <c r="M253" s="2"/>
    </row>
    <row r="254" spans="1:13" x14ac:dyDescent="0.25">
      <c r="A254" s="2" t="s">
        <v>1135</v>
      </c>
      <c r="B254" s="2" t="s">
        <v>1070</v>
      </c>
      <c r="C254" s="2" t="s">
        <v>1128</v>
      </c>
      <c r="D254" s="3" t="s">
        <v>1136</v>
      </c>
      <c r="E254" s="3" t="s">
        <v>1137</v>
      </c>
      <c r="F254" s="3" t="s">
        <v>1134</v>
      </c>
      <c r="G254" s="5" t="s">
        <v>31</v>
      </c>
      <c r="H254" s="2"/>
      <c r="I254" s="3"/>
      <c r="J254" s="2"/>
      <c r="K254" s="2"/>
      <c r="L254" s="2"/>
      <c r="M254" s="2"/>
    </row>
    <row r="255" spans="1:13" x14ac:dyDescent="0.25">
      <c r="A255" s="2" t="s">
        <v>1138</v>
      </c>
      <c r="B255" s="2" t="s">
        <v>1139</v>
      </c>
      <c r="C255" s="2" t="s">
        <v>1140</v>
      </c>
      <c r="D255" s="3" t="s">
        <v>1141</v>
      </c>
      <c r="E255" s="3" t="s">
        <v>1142</v>
      </c>
      <c r="F255" s="3" t="s">
        <v>1143</v>
      </c>
      <c r="G255" s="4" t="s">
        <v>18</v>
      </c>
      <c r="H255" s="2"/>
      <c r="I255" s="3"/>
      <c r="J255" s="2"/>
      <c r="K255" s="2"/>
      <c r="L255" s="2"/>
      <c r="M255" s="2"/>
    </row>
    <row r="256" spans="1:13" x14ac:dyDescent="0.25">
      <c r="A256" s="2" t="s">
        <v>1144</v>
      </c>
      <c r="B256" s="2" t="s">
        <v>1139</v>
      </c>
      <c r="C256" s="2" t="s">
        <v>1145</v>
      </c>
      <c r="D256" s="3" t="s">
        <v>1146</v>
      </c>
      <c r="E256" s="3" t="s">
        <v>1147</v>
      </c>
      <c r="F256" s="3" t="s">
        <v>1148</v>
      </c>
      <c r="G256" s="5" t="s">
        <v>31</v>
      </c>
      <c r="H256" s="2"/>
      <c r="I256" s="3"/>
      <c r="J256" s="2"/>
      <c r="K256" s="2"/>
      <c r="L256" s="2"/>
      <c r="M256" s="2"/>
    </row>
    <row r="257" spans="1:13" x14ac:dyDescent="0.25">
      <c r="A257" s="2" t="s">
        <v>1149</v>
      </c>
      <c r="B257" s="2" t="s">
        <v>1139</v>
      </c>
      <c r="C257" s="2" t="s">
        <v>1150</v>
      </c>
      <c r="D257" s="3" t="s">
        <v>1151</v>
      </c>
      <c r="E257" s="3" t="s">
        <v>1152</v>
      </c>
      <c r="F257" s="3" t="s">
        <v>1153</v>
      </c>
      <c r="G257" s="5" t="s">
        <v>31</v>
      </c>
      <c r="H257" s="2"/>
      <c r="I257" s="3"/>
      <c r="J257" s="2"/>
      <c r="K257" s="2"/>
      <c r="L257" s="2"/>
      <c r="M257" s="2"/>
    </row>
    <row r="258" spans="1:13" x14ac:dyDescent="0.25">
      <c r="A258" s="2" t="s">
        <v>1154</v>
      </c>
      <c r="B258" s="2" t="s">
        <v>1139</v>
      </c>
      <c r="C258" s="2" t="s">
        <v>1155</v>
      </c>
      <c r="D258" s="3" t="s">
        <v>1156</v>
      </c>
      <c r="E258" s="3" t="s">
        <v>1157</v>
      </c>
      <c r="F258" s="3" t="s">
        <v>1158</v>
      </c>
      <c r="G258" s="5" t="s">
        <v>31</v>
      </c>
      <c r="H258" s="2"/>
      <c r="I258" s="3"/>
      <c r="J258" s="2"/>
      <c r="K258" s="2"/>
      <c r="L258" s="2"/>
      <c r="M258" s="2"/>
    </row>
    <row r="259" spans="1:13" x14ac:dyDescent="0.25">
      <c r="A259" s="2" t="s">
        <v>1159</v>
      </c>
      <c r="B259" s="2" t="s">
        <v>1139</v>
      </c>
      <c r="C259" s="2" t="s">
        <v>447</v>
      </c>
      <c r="D259" s="3" t="s">
        <v>1160</v>
      </c>
      <c r="E259" s="3" t="s">
        <v>1161</v>
      </c>
      <c r="F259" s="3" t="s">
        <v>1162</v>
      </c>
      <c r="G259" s="5" t="s">
        <v>31</v>
      </c>
      <c r="H259" s="2"/>
      <c r="I259" s="3"/>
      <c r="J259" s="2"/>
      <c r="K259" s="2"/>
      <c r="L259" s="2"/>
      <c r="M259" s="2"/>
    </row>
    <row r="260" spans="1:13" x14ac:dyDescent="0.25">
      <c r="A260" s="2" t="s">
        <v>1163</v>
      </c>
      <c r="B260" s="2" t="s">
        <v>1139</v>
      </c>
      <c r="C260" s="2" t="s">
        <v>1164</v>
      </c>
      <c r="D260" s="3" t="s">
        <v>1165</v>
      </c>
      <c r="E260" s="3" t="s">
        <v>1166</v>
      </c>
      <c r="F260" s="3" t="s">
        <v>1167</v>
      </c>
      <c r="G260" s="5" t="s">
        <v>31</v>
      </c>
      <c r="H260" s="2"/>
      <c r="I260" s="3"/>
      <c r="J260" s="2"/>
      <c r="K260" s="2"/>
      <c r="L260" s="2"/>
      <c r="M260" s="2"/>
    </row>
    <row r="261" spans="1:13" x14ac:dyDescent="0.25">
      <c r="A261" s="2" t="s">
        <v>1168</v>
      </c>
      <c r="B261" s="2" t="s">
        <v>1169</v>
      </c>
      <c r="C261" s="2" t="s">
        <v>1170</v>
      </c>
      <c r="D261" s="3" t="s">
        <v>1171</v>
      </c>
      <c r="E261" s="3" t="s">
        <v>1172</v>
      </c>
      <c r="F261" s="3" t="s">
        <v>1173</v>
      </c>
      <c r="G261" s="5" t="s">
        <v>31</v>
      </c>
      <c r="H261" s="2"/>
      <c r="I261" s="3"/>
      <c r="J261" s="2"/>
      <c r="K261" s="2"/>
      <c r="L261" s="2"/>
      <c r="M261" s="2"/>
    </row>
    <row r="262" spans="1:13" x14ac:dyDescent="0.25">
      <c r="A262" s="2" t="s">
        <v>1174</v>
      </c>
      <c r="B262" s="2" t="s">
        <v>1169</v>
      </c>
      <c r="C262" s="2" t="s">
        <v>1175</v>
      </c>
      <c r="D262" s="3" t="s">
        <v>1176</v>
      </c>
      <c r="E262" s="3" t="s">
        <v>1177</v>
      </c>
      <c r="F262" s="3" t="s">
        <v>1178</v>
      </c>
      <c r="G262" s="5" t="s">
        <v>31</v>
      </c>
      <c r="H262" s="2"/>
      <c r="I262" s="3"/>
      <c r="J262" s="2"/>
      <c r="K262" s="2"/>
      <c r="L262" s="2"/>
      <c r="M262" s="2"/>
    </row>
    <row r="263" spans="1:13" x14ac:dyDescent="0.25">
      <c r="A263" s="2" t="s">
        <v>1179</v>
      </c>
      <c r="B263" s="2" t="s">
        <v>1169</v>
      </c>
      <c r="C263" s="2" t="s">
        <v>1180</v>
      </c>
      <c r="D263" s="3" t="s">
        <v>1181</v>
      </c>
      <c r="E263" s="3" t="s">
        <v>1182</v>
      </c>
      <c r="F263" s="3" t="s">
        <v>1183</v>
      </c>
      <c r="G263" s="5" t="s">
        <v>31</v>
      </c>
      <c r="H263" s="2"/>
      <c r="I263" s="3"/>
      <c r="J263" s="2"/>
      <c r="K263" s="2"/>
      <c r="L263" s="2"/>
      <c r="M263" s="2"/>
    </row>
    <row r="264" spans="1:13" x14ac:dyDescent="0.25">
      <c r="A264" s="2" t="s">
        <v>1184</v>
      </c>
      <c r="B264" s="2" t="s">
        <v>1169</v>
      </c>
      <c r="C264" s="2" t="s">
        <v>1185</v>
      </c>
      <c r="D264" s="3" t="s">
        <v>1186</v>
      </c>
      <c r="E264" s="3" t="s">
        <v>1187</v>
      </c>
      <c r="F264" s="3" t="s">
        <v>1188</v>
      </c>
      <c r="G264" s="5" t="s">
        <v>31</v>
      </c>
      <c r="H264" s="2"/>
      <c r="I264" s="3"/>
      <c r="J264" s="2"/>
      <c r="K264" s="2"/>
      <c r="L264" s="2"/>
      <c r="M264" s="2"/>
    </row>
    <row r="265" spans="1:13" x14ac:dyDescent="0.25">
      <c r="A265" s="2" t="s">
        <v>1189</v>
      </c>
      <c r="B265" s="2" t="s">
        <v>1169</v>
      </c>
      <c r="C265" s="2" t="s">
        <v>1190</v>
      </c>
      <c r="D265" s="3" t="s">
        <v>1191</v>
      </c>
      <c r="E265" s="3" t="s">
        <v>1192</v>
      </c>
      <c r="F265" s="3" t="s">
        <v>1193</v>
      </c>
      <c r="G265" s="6" t="s">
        <v>77</v>
      </c>
      <c r="H265" s="2"/>
      <c r="I265" s="3"/>
      <c r="J265" s="2"/>
      <c r="K265" s="2"/>
      <c r="L265" s="2"/>
      <c r="M265" s="2"/>
    </row>
    <row r="266" spans="1:13" x14ac:dyDescent="0.25">
      <c r="A266" s="2" t="s">
        <v>1194</v>
      </c>
      <c r="B266" s="2" t="s">
        <v>1169</v>
      </c>
      <c r="C266" s="2" t="s">
        <v>1195</v>
      </c>
      <c r="D266" s="3" t="s">
        <v>1196</v>
      </c>
      <c r="E266" s="3" t="s">
        <v>1197</v>
      </c>
      <c r="F266" s="3" t="s">
        <v>1198</v>
      </c>
      <c r="G266" s="6" t="s">
        <v>77</v>
      </c>
      <c r="H266" s="2"/>
      <c r="I266" s="3"/>
      <c r="J266" s="2"/>
      <c r="K266" s="2"/>
      <c r="L266" s="2"/>
      <c r="M266" s="2"/>
    </row>
    <row r="267" spans="1:13" x14ac:dyDescent="0.25">
      <c r="A267" s="2" t="s">
        <v>1199</v>
      </c>
      <c r="B267" s="2" t="s">
        <v>1200</v>
      </c>
      <c r="C267" s="2" t="s">
        <v>1201</v>
      </c>
      <c r="D267" s="3" t="s">
        <v>1202</v>
      </c>
      <c r="E267" s="3" t="s">
        <v>1203</v>
      </c>
      <c r="F267" s="3" t="s">
        <v>1204</v>
      </c>
      <c r="G267" s="4" t="s">
        <v>18</v>
      </c>
      <c r="H267" s="2"/>
      <c r="I267" s="3"/>
      <c r="J267" s="2"/>
      <c r="K267" s="2"/>
      <c r="L267" s="2"/>
      <c r="M267" s="2"/>
    </row>
    <row r="268" spans="1:13" x14ac:dyDescent="0.25">
      <c r="A268" s="2" t="s">
        <v>1205</v>
      </c>
      <c r="B268" s="2" t="s">
        <v>1200</v>
      </c>
      <c r="C268" s="2" t="s">
        <v>1206</v>
      </c>
      <c r="D268" s="3" t="s">
        <v>1207</v>
      </c>
      <c r="E268" s="3" t="s">
        <v>1208</v>
      </c>
      <c r="F268" s="3" t="s">
        <v>1209</v>
      </c>
      <c r="G268" s="5" t="s">
        <v>31</v>
      </c>
      <c r="H268" s="2"/>
      <c r="I268" s="3"/>
      <c r="J268" s="2"/>
      <c r="K268" s="2"/>
      <c r="L268" s="2"/>
      <c r="M268" s="2"/>
    </row>
    <row r="269" spans="1:13" x14ac:dyDescent="0.25">
      <c r="A269" s="2" t="s">
        <v>1210</v>
      </c>
      <c r="B269" s="2" t="s">
        <v>1200</v>
      </c>
      <c r="C269" s="2" t="s">
        <v>1211</v>
      </c>
      <c r="D269" s="3" t="s">
        <v>1212</v>
      </c>
      <c r="E269" s="3" t="s">
        <v>1213</v>
      </c>
      <c r="F269" s="3" t="s">
        <v>1214</v>
      </c>
      <c r="G269" s="5" t="s">
        <v>31</v>
      </c>
      <c r="H269" s="2"/>
      <c r="I269" s="3"/>
      <c r="J269" s="2"/>
      <c r="K269" s="2"/>
      <c r="L269" s="2"/>
      <c r="M269" s="2"/>
    </row>
    <row r="270" spans="1:13" x14ac:dyDescent="0.25">
      <c r="A270" s="2" t="s">
        <v>1215</v>
      </c>
      <c r="B270" s="2" t="s">
        <v>1200</v>
      </c>
      <c r="C270" s="2" t="s">
        <v>1216</v>
      </c>
      <c r="D270" s="3" t="s">
        <v>1217</v>
      </c>
      <c r="E270" s="3" t="s">
        <v>115</v>
      </c>
      <c r="F270" s="3" t="s">
        <v>1218</v>
      </c>
      <c r="G270" s="5" t="s">
        <v>31</v>
      </c>
      <c r="H270" s="2"/>
      <c r="I270" s="3"/>
      <c r="J270" s="2"/>
      <c r="K270" s="2"/>
      <c r="L270" s="2"/>
      <c r="M270" s="2"/>
    </row>
    <row r="271" spans="1:13" x14ac:dyDescent="0.25">
      <c r="A271" s="2" t="s">
        <v>1219</v>
      </c>
      <c r="B271" s="2" t="s">
        <v>1200</v>
      </c>
      <c r="C271" s="2" t="s">
        <v>1220</v>
      </c>
      <c r="D271" s="3" t="s">
        <v>1221</v>
      </c>
      <c r="E271" s="3" t="s">
        <v>1222</v>
      </c>
      <c r="F271" s="3" t="s">
        <v>1223</v>
      </c>
      <c r="G271" s="5" t="s">
        <v>31</v>
      </c>
      <c r="H271" s="2"/>
      <c r="I271" s="3"/>
      <c r="J271" s="2"/>
      <c r="K271" s="2"/>
      <c r="L271" s="2"/>
      <c r="M271" s="2"/>
    </row>
    <row r="272" spans="1:13" x14ac:dyDescent="0.25">
      <c r="A272" s="2" t="s">
        <v>1224</v>
      </c>
      <c r="B272" s="2" t="s">
        <v>1225</v>
      </c>
      <c r="C272" s="2" t="s">
        <v>1226</v>
      </c>
      <c r="D272" s="3" t="s">
        <v>1227</v>
      </c>
      <c r="E272" s="3" t="s">
        <v>1228</v>
      </c>
      <c r="F272" s="3" t="s">
        <v>1077</v>
      </c>
      <c r="G272" s="6" t="s">
        <v>77</v>
      </c>
      <c r="H272" s="2"/>
      <c r="I272" s="3"/>
      <c r="J272" s="2"/>
      <c r="K272" s="2"/>
      <c r="L272" s="2"/>
      <c r="M272" s="2"/>
    </row>
    <row r="273" spans="1:13" x14ac:dyDescent="0.25">
      <c r="A273" s="2" t="s">
        <v>1229</v>
      </c>
      <c r="B273" s="2" t="s">
        <v>1225</v>
      </c>
      <c r="C273" s="2" t="s">
        <v>1230</v>
      </c>
      <c r="D273" s="3" t="s">
        <v>1231</v>
      </c>
      <c r="E273" s="3" t="s">
        <v>1232</v>
      </c>
      <c r="F273" s="3" t="s">
        <v>1233</v>
      </c>
      <c r="G273" s="6" t="s">
        <v>77</v>
      </c>
      <c r="H273" s="2"/>
      <c r="I273" s="3"/>
      <c r="J273" s="2"/>
      <c r="K273" s="2"/>
      <c r="L273" s="2"/>
      <c r="M273" s="2"/>
    </row>
    <row r="274" spans="1:13" x14ac:dyDescent="0.25">
      <c r="A274" s="2" t="s">
        <v>1234</v>
      </c>
      <c r="B274" s="2" t="s">
        <v>1225</v>
      </c>
      <c r="C274" s="2" t="s">
        <v>1235</v>
      </c>
      <c r="D274" s="3" t="s">
        <v>1236</v>
      </c>
      <c r="E274" s="3" t="s">
        <v>1237</v>
      </c>
      <c r="F274" s="3" t="s">
        <v>1238</v>
      </c>
      <c r="G274" s="6" t="s">
        <v>77</v>
      </c>
      <c r="H274" s="2"/>
      <c r="I274" s="3"/>
      <c r="J274" s="2"/>
      <c r="K274" s="2"/>
      <c r="L274" s="2"/>
      <c r="M274" s="2"/>
    </row>
  </sheetData>
  <autoFilter ref="A1:M274" xr:uid="{00000000-0009-0000-0000-000000000000}"/>
  <dataValidations count="2">
    <dataValidation type="list" allowBlank="1" sqref="H2:H274" xr:uid="{00000000-0002-0000-0000-000000000000}">
      <formula1>"PASS,FAIL,SKIP,BLOCKED,TODO"</formula1>
    </dataValidation>
    <dataValidation type="list" allowBlank="1" sqref="G2:G274" xr:uid="{00000000-0002-0000-0000-000001000000}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5" x14ac:dyDescent="0.25"/>
  <cols>
    <col min="1" max="1" width="28" customWidth="1"/>
    <col min="2" max="2" width="14" customWidth="1"/>
    <col min="4" max="4" width="14" customWidth="1"/>
    <col min="5" max="7" width="8" customWidth="1"/>
  </cols>
  <sheetData>
    <row r="1" spans="1:7" x14ac:dyDescent="0.25">
      <c r="A1" s="7" t="s">
        <v>1239</v>
      </c>
      <c r="B1" s="7" t="s">
        <v>1240</v>
      </c>
      <c r="D1" s="7" t="s">
        <v>0</v>
      </c>
      <c r="E1" s="7" t="s">
        <v>1241</v>
      </c>
      <c r="F1" s="7" t="s">
        <v>1242</v>
      </c>
      <c r="G1" s="7" t="s">
        <v>1243</v>
      </c>
    </row>
    <row r="2" spans="1:7" x14ac:dyDescent="0.25">
      <c r="A2" s="8" t="s">
        <v>1244</v>
      </c>
      <c r="B2" s="8">
        <f>COUNTA('Test Smartphone'!A2:A274)</f>
        <v>273</v>
      </c>
      <c r="D2" s="8" t="s">
        <v>13</v>
      </c>
      <c r="E2" s="8">
        <f>COUNTIF('Test Smartphone'!B2:B274,D2)</f>
        <v>14</v>
      </c>
      <c r="F2" s="8">
        <f>COUNTIFS('Test Smartphone'!B2:B274,D2,'Test Smartphone'!H2:H274,"PASS")</f>
        <v>0</v>
      </c>
      <c r="G2" s="8">
        <f>COUNTIFS('Test Smartphone'!B2:B274,D2,'Test Smartphone'!H2:H274,"FAIL")</f>
        <v>0</v>
      </c>
    </row>
    <row r="3" spans="1:7" x14ac:dyDescent="0.25">
      <c r="A3" s="8" t="s">
        <v>1245</v>
      </c>
      <c r="B3" s="8">
        <f>COUNTIF('Test Smartphone'!G2:G274,"P0")</f>
        <v>47</v>
      </c>
      <c r="D3" s="8" t="s">
        <v>79</v>
      </c>
      <c r="E3" s="8">
        <f>COUNTIF('Test Smartphone'!B2:B274,D3)</f>
        <v>18</v>
      </c>
      <c r="F3" s="8">
        <f>COUNTIFS('Test Smartphone'!B2:B274,D3,'Test Smartphone'!H2:H274,"PASS")</f>
        <v>0</v>
      </c>
      <c r="G3" s="8">
        <f>COUNTIFS('Test Smartphone'!B2:B274,D3,'Test Smartphone'!H2:H274,"FAIL")</f>
        <v>0</v>
      </c>
    </row>
    <row r="4" spans="1:7" x14ac:dyDescent="0.25">
      <c r="A4" s="8" t="s">
        <v>1246</v>
      </c>
      <c r="B4" s="8">
        <f>COUNTIF('Test Smartphone'!G2:G274,"P1")</f>
        <v>164</v>
      </c>
      <c r="D4" s="8" t="s">
        <v>156</v>
      </c>
      <c r="E4" s="8">
        <f>COUNTIF('Test Smartphone'!B2:B274,D4)</f>
        <v>9</v>
      </c>
      <c r="F4" s="8">
        <f>COUNTIFS('Test Smartphone'!B2:B274,D4,'Test Smartphone'!H2:H274,"PASS")</f>
        <v>0</v>
      </c>
      <c r="G4" s="8">
        <f>COUNTIFS('Test Smartphone'!B2:B274,D4,'Test Smartphone'!H2:H274,"FAIL")</f>
        <v>0</v>
      </c>
    </row>
    <row r="5" spans="1:7" x14ac:dyDescent="0.25">
      <c r="A5" s="8" t="s">
        <v>1247</v>
      </c>
      <c r="B5" s="8">
        <f>COUNTIF('Test Smartphone'!G2:G274,"P2")</f>
        <v>62</v>
      </c>
      <c r="D5" s="8" t="s">
        <v>195</v>
      </c>
      <c r="E5" s="8">
        <f>COUNTIF('Test Smartphone'!B2:B274,D5)</f>
        <v>21</v>
      </c>
      <c r="F5" s="8">
        <f>COUNTIFS('Test Smartphone'!B2:B274,D5,'Test Smartphone'!H2:H274,"PASS")</f>
        <v>0</v>
      </c>
      <c r="G5" s="8">
        <f>COUNTIFS('Test Smartphone'!B2:B274,D5,'Test Smartphone'!H2:H274,"FAIL")</f>
        <v>0</v>
      </c>
    </row>
    <row r="6" spans="1:7" x14ac:dyDescent="0.25">
      <c r="A6" s="8"/>
      <c r="B6" s="8"/>
      <c r="D6" s="8" t="s">
        <v>292</v>
      </c>
      <c r="E6" s="8">
        <f>COUNTIF('Test Smartphone'!B2:B274,D6)</f>
        <v>10</v>
      </c>
      <c r="F6" s="8">
        <f>COUNTIFS('Test Smartphone'!B2:B274,D6,'Test Smartphone'!H2:H274,"PASS")</f>
        <v>0</v>
      </c>
      <c r="G6" s="8">
        <f>COUNTIFS('Test Smartphone'!B2:B274,D6,'Test Smartphone'!H2:H274,"FAIL")</f>
        <v>0</v>
      </c>
    </row>
    <row r="7" spans="1:7" x14ac:dyDescent="0.25">
      <c r="A7" s="9" t="s">
        <v>1248</v>
      </c>
      <c r="B7" s="8">
        <f>COUNTIF('Test Smartphone'!H2:H274,"PASS")</f>
        <v>0</v>
      </c>
      <c r="D7" s="8" t="s">
        <v>337</v>
      </c>
      <c r="E7" s="8">
        <f>COUNTIF('Test Smartphone'!B2:B274,D7)</f>
        <v>23</v>
      </c>
      <c r="F7" s="8">
        <f>COUNTIFS('Test Smartphone'!B2:B274,D7,'Test Smartphone'!H2:H274,"PASS")</f>
        <v>0</v>
      </c>
      <c r="G7" s="8">
        <f>COUNTIFS('Test Smartphone'!B2:B274,D7,'Test Smartphone'!H2:H274,"FAIL")</f>
        <v>0</v>
      </c>
    </row>
    <row r="8" spans="1:7" x14ac:dyDescent="0.25">
      <c r="A8" s="10" t="s">
        <v>1249</v>
      </c>
      <c r="B8" s="8">
        <f>COUNTIF('Test Smartphone'!H2:H274,"FAIL")</f>
        <v>0</v>
      </c>
      <c r="D8" s="8" t="s">
        <v>436</v>
      </c>
      <c r="E8" s="8">
        <f>COUNTIF('Test Smartphone'!B2:B274,D8)</f>
        <v>22</v>
      </c>
      <c r="F8" s="8">
        <f>COUNTIFS('Test Smartphone'!B2:B274,D8,'Test Smartphone'!H2:H274,"PASS")</f>
        <v>0</v>
      </c>
      <c r="G8" s="8">
        <f>COUNTIFS('Test Smartphone'!B2:B274,D8,'Test Smartphone'!H2:H274,"FAIL")</f>
        <v>0</v>
      </c>
    </row>
    <row r="9" spans="1:7" x14ac:dyDescent="0.25">
      <c r="A9" s="11" t="s">
        <v>1250</v>
      </c>
      <c r="B9" s="8">
        <f>COUNTIF('Test Smartphone'!H2:H274,"SKIP")</f>
        <v>0</v>
      </c>
      <c r="D9" s="8" t="s">
        <v>530</v>
      </c>
      <c r="E9" s="8">
        <f>COUNTIF('Test Smartphone'!B2:B274,D9)</f>
        <v>8</v>
      </c>
      <c r="F9" s="8">
        <f>COUNTIFS('Test Smartphone'!B2:B274,D9,'Test Smartphone'!H2:H274,"PASS")</f>
        <v>0</v>
      </c>
      <c r="G9" s="8">
        <f>COUNTIFS('Test Smartphone'!B2:B274,D9,'Test Smartphone'!H2:H274,"FAIL")</f>
        <v>0</v>
      </c>
    </row>
    <row r="10" spans="1:7" x14ac:dyDescent="0.25">
      <c r="A10" s="12" t="s">
        <v>1251</v>
      </c>
      <c r="B10" s="8">
        <f>COUNTIF('Test Smartphone'!H2:H274,"BLOCKED")</f>
        <v>0</v>
      </c>
      <c r="D10" s="8" t="s">
        <v>565</v>
      </c>
      <c r="E10" s="8">
        <f>COUNTIF('Test Smartphone'!B2:B274,D10)</f>
        <v>9</v>
      </c>
      <c r="F10" s="8">
        <f>COUNTIFS('Test Smartphone'!B2:B274,D10,'Test Smartphone'!H2:H274,"PASS")</f>
        <v>0</v>
      </c>
      <c r="G10" s="8">
        <f>COUNTIFS('Test Smartphone'!B2:B274,D10,'Test Smartphone'!H2:H274,"FAIL")</f>
        <v>0</v>
      </c>
    </row>
    <row r="11" spans="1:7" x14ac:dyDescent="0.25">
      <c r="A11" s="8" t="s">
        <v>1252</v>
      </c>
      <c r="B11" s="8">
        <f>COUNTIF('Test Smartphone'!H2:H274,"TODO")+COUNTBLANK('Test Smartphone'!H2:H274)</f>
        <v>273</v>
      </c>
      <c r="D11" s="8" t="s">
        <v>607</v>
      </c>
      <c r="E11" s="8">
        <f>COUNTIF('Test Smartphone'!B2:B274,D11)</f>
        <v>13</v>
      </c>
      <c r="F11" s="8">
        <f>COUNTIFS('Test Smartphone'!B2:B274,D11,'Test Smartphone'!H2:H274,"PASS")</f>
        <v>0</v>
      </c>
      <c r="G11" s="8">
        <f>COUNTIFS('Test Smartphone'!B2:B274,D11,'Test Smartphone'!H2:H274,"FAIL")</f>
        <v>0</v>
      </c>
    </row>
    <row r="12" spans="1:7" x14ac:dyDescent="0.25">
      <c r="A12" s="8"/>
      <c r="B12" s="8"/>
      <c r="D12" s="8" t="s">
        <v>665</v>
      </c>
      <c r="E12" s="8">
        <f>COUNTIF('Test Smartphone'!B2:B274,D12)</f>
        <v>14</v>
      </c>
      <c r="F12" s="8">
        <f>COUNTIFS('Test Smartphone'!B2:B274,D12,'Test Smartphone'!H2:H274,"PASS")</f>
        <v>0</v>
      </c>
      <c r="G12" s="8">
        <f>COUNTIFS('Test Smartphone'!B2:B274,D12,'Test Smartphone'!H2:H274,"FAIL")</f>
        <v>0</v>
      </c>
    </row>
    <row r="13" spans="1:7" x14ac:dyDescent="0.25">
      <c r="A13" s="8" t="s">
        <v>1253</v>
      </c>
      <c r="B13" s="13">
        <f>IF(B2=0,0,(B6+B7+B8+B9)/B2)</f>
        <v>0</v>
      </c>
      <c r="D13" s="8" t="s">
        <v>733</v>
      </c>
      <c r="E13" s="8">
        <f>COUNTIF('Test Smartphone'!B2:B274,D13)</f>
        <v>4</v>
      </c>
      <c r="F13" s="8">
        <f>COUNTIFS('Test Smartphone'!B2:B274,D13,'Test Smartphone'!H2:H274,"PASS")</f>
        <v>0</v>
      </c>
      <c r="G13" s="8">
        <f>COUNTIFS('Test Smartphone'!B2:B274,D13,'Test Smartphone'!H2:H274,"FAIL")</f>
        <v>0</v>
      </c>
    </row>
    <row r="14" spans="1:7" x14ac:dyDescent="0.25">
      <c r="A14" s="8" t="s">
        <v>1254</v>
      </c>
      <c r="B14" s="13">
        <f>IF((B6+B7)=0,0,B6/(B6+B7))</f>
        <v>0</v>
      </c>
      <c r="D14" s="8" t="s">
        <v>751</v>
      </c>
      <c r="E14" s="8">
        <f>COUNTIF('Test Smartphone'!B2:B274,D14)</f>
        <v>6</v>
      </c>
      <c r="F14" s="8">
        <f>COUNTIFS('Test Smartphone'!B2:B274,D14,'Test Smartphone'!H2:H274,"PASS")</f>
        <v>0</v>
      </c>
      <c r="G14" s="8">
        <f>COUNTIFS('Test Smartphone'!B2:B274,D14,'Test Smartphone'!H2:H274,"FAIL")</f>
        <v>0</v>
      </c>
    </row>
    <row r="15" spans="1:7" x14ac:dyDescent="0.25">
      <c r="D15" s="8" t="s">
        <v>775</v>
      </c>
      <c r="E15" s="8">
        <f>COUNTIF('Test Smartphone'!B2:B274,D15)</f>
        <v>6</v>
      </c>
      <c r="F15" s="8">
        <f>COUNTIFS('Test Smartphone'!B2:B274,D15,'Test Smartphone'!H2:H274,"PASS")</f>
        <v>0</v>
      </c>
      <c r="G15" s="8">
        <f>COUNTIFS('Test Smartphone'!B2:B274,D15,'Test Smartphone'!H2:H274,"FAIL")</f>
        <v>0</v>
      </c>
    </row>
    <row r="16" spans="1:7" x14ac:dyDescent="0.25">
      <c r="D16" s="8" t="s">
        <v>802</v>
      </c>
      <c r="E16" s="8">
        <f>COUNTIF('Test Smartphone'!B2:B274,D16)</f>
        <v>7</v>
      </c>
      <c r="F16" s="8">
        <f>COUNTIFS('Test Smartphone'!B2:B274,D16,'Test Smartphone'!H2:H274,"PASS")</f>
        <v>0</v>
      </c>
      <c r="G16" s="8">
        <f>COUNTIFS('Test Smartphone'!B2:B274,D16,'Test Smartphone'!H2:H274,"FAIL")</f>
        <v>0</v>
      </c>
    </row>
    <row r="17" spans="4:7" x14ac:dyDescent="0.25">
      <c r="D17" s="8" t="s">
        <v>831</v>
      </c>
      <c r="E17" s="8">
        <f>COUNTIF('Test Smartphone'!B2:B274,D17)</f>
        <v>13</v>
      </c>
      <c r="F17" s="8">
        <f>COUNTIFS('Test Smartphone'!B2:B274,D17,'Test Smartphone'!H2:H274,"PASS")</f>
        <v>0</v>
      </c>
      <c r="G17" s="8">
        <f>COUNTIFS('Test Smartphone'!B2:B274,D17,'Test Smartphone'!H2:H274,"FAIL")</f>
        <v>0</v>
      </c>
    </row>
    <row r="18" spans="4:7" x14ac:dyDescent="0.25">
      <c r="D18" s="8" t="s">
        <v>889</v>
      </c>
      <c r="E18" s="8">
        <f>COUNTIF('Test Smartphone'!B2:B274,D18)</f>
        <v>7</v>
      </c>
      <c r="F18" s="8">
        <f>COUNTIFS('Test Smartphone'!B2:B274,D18,'Test Smartphone'!H2:H274,"PASS")</f>
        <v>0</v>
      </c>
      <c r="G18" s="8">
        <f>COUNTIFS('Test Smartphone'!B2:B274,D18,'Test Smartphone'!H2:H274,"FAIL")</f>
        <v>0</v>
      </c>
    </row>
    <row r="19" spans="4:7" x14ac:dyDescent="0.25">
      <c r="D19" s="8" t="s">
        <v>924</v>
      </c>
      <c r="E19" s="8">
        <f>COUNTIF('Test Smartphone'!B2:B274,D19)</f>
        <v>3</v>
      </c>
      <c r="F19" s="8">
        <f>COUNTIFS('Test Smartphone'!B2:B274,D19,'Test Smartphone'!H2:H274,"PASS")</f>
        <v>0</v>
      </c>
      <c r="G19" s="8">
        <f>COUNTIFS('Test Smartphone'!B2:B274,D19,'Test Smartphone'!H2:H274,"FAIL")</f>
        <v>0</v>
      </c>
    </row>
    <row r="20" spans="4:7" x14ac:dyDescent="0.25">
      <c r="D20" s="8" t="s">
        <v>937</v>
      </c>
      <c r="E20" s="8">
        <f>COUNTIF('Test Smartphone'!B2:B274,D20)</f>
        <v>3</v>
      </c>
      <c r="F20" s="8">
        <f>COUNTIFS('Test Smartphone'!B2:B274,D20,'Test Smartphone'!H2:H274,"PASS")</f>
        <v>0</v>
      </c>
      <c r="G20" s="8">
        <f>COUNTIFS('Test Smartphone'!B2:B274,D20,'Test Smartphone'!H2:H274,"FAIL")</f>
        <v>0</v>
      </c>
    </row>
    <row r="21" spans="4:7" x14ac:dyDescent="0.25">
      <c r="D21" s="8" t="s">
        <v>260</v>
      </c>
      <c r="E21" s="8">
        <f>COUNTIF('Test Smartphone'!B2:B274,D21)</f>
        <v>8</v>
      </c>
      <c r="F21" s="8">
        <f>COUNTIFS('Test Smartphone'!B2:B274,D21,'Test Smartphone'!H2:H274,"PASS")</f>
        <v>0</v>
      </c>
      <c r="G21" s="8">
        <f>COUNTIFS('Test Smartphone'!B2:B274,D21,'Test Smartphone'!H2:H274,"FAIL")</f>
        <v>0</v>
      </c>
    </row>
    <row r="22" spans="4:7" x14ac:dyDescent="0.25">
      <c r="D22" s="8" t="s">
        <v>992</v>
      </c>
      <c r="E22" s="8">
        <f>COUNTIF('Test Smartphone'!B2:B274,D22)</f>
        <v>7</v>
      </c>
      <c r="F22" s="8">
        <f>COUNTIFS('Test Smartphone'!B2:B274,D22,'Test Smartphone'!H2:H274,"PASS")</f>
        <v>0</v>
      </c>
      <c r="G22" s="8">
        <f>COUNTIFS('Test Smartphone'!B2:B274,D22,'Test Smartphone'!H2:H274,"FAIL")</f>
        <v>0</v>
      </c>
    </row>
    <row r="23" spans="4:7" x14ac:dyDescent="0.25">
      <c r="D23" s="8" t="s">
        <v>1024</v>
      </c>
      <c r="E23" s="8">
        <f>COUNTIF('Test Smartphone'!B2:B274,D23)</f>
        <v>6</v>
      </c>
      <c r="F23" s="8">
        <f>COUNTIFS('Test Smartphone'!B2:B274,D23,'Test Smartphone'!H2:H274,"PASS")</f>
        <v>0</v>
      </c>
      <c r="G23" s="8">
        <f>COUNTIFS('Test Smartphone'!B2:B274,D23,'Test Smartphone'!H2:H274,"FAIL")</f>
        <v>0</v>
      </c>
    </row>
    <row r="24" spans="4:7" x14ac:dyDescent="0.25">
      <c r="D24" s="8" t="s">
        <v>1049</v>
      </c>
      <c r="E24" s="8">
        <f>COUNTIF('Test Smartphone'!B2:B274,D24)</f>
        <v>4</v>
      </c>
      <c r="F24" s="8">
        <f>COUNTIFS('Test Smartphone'!B2:B274,D24,'Test Smartphone'!H2:H274,"PASS")</f>
        <v>0</v>
      </c>
      <c r="G24" s="8">
        <f>COUNTIFS('Test Smartphone'!B2:B274,D24,'Test Smartphone'!H2:H274,"FAIL")</f>
        <v>0</v>
      </c>
    </row>
    <row r="25" spans="4:7" x14ac:dyDescent="0.25">
      <c r="D25" s="8" t="s">
        <v>1070</v>
      </c>
      <c r="E25" s="8">
        <f>COUNTIF('Test Smartphone'!B2:B274,D25)</f>
        <v>18</v>
      </c>
      <c r="F25" s="8">
        <f>COUNTIFS('Test Smartphone'!B2:B274,D25,'Test Smartphone'!H2:H274,"PASS")</f>
        <v>0</v>
      </c>
      <c r="G25" s="8">
        <f>COUNTIFS('Test Smartphone'!B2:B274,D25,'Test Smartphone'!H2:H274,"FAIL")</f>
        <v>0</v>
      </c>
    </row>
    <row r="26" spans="4:7" x14ac:dyDescent="0.25">
      <c r="D26" s="8" t="s">
        <v>1139</v>
      </c>
      <c r="E26" s="8">
        <f>COUNTIF('Test Smartphone'!B2:B274,D26)</f>
        <v>6</v>
      </c>
      <c r="F26" s="8">
        <f>COUNTIFS('Test Smartphone'!B2:B274,D26,'Test Smartphone'!H2:H274,"PASS")</f>
        <v>0</v>
      </c>
      <c r="G26" s="8">
        <f>COUNTIFS('Test Smartphone'!B2:B274,D26,'Test Smartphone'!H2:H274,"FAIL")</f>
        <v>0</v>
      </c>
    </row>
    <row r="27" spans="4:7" x14ac:dyDescent="0.25">
      <c r="D27" s="8" t="s">
        <v>1169</v>
      </c>
      <c r="E27" s="8">
        <f>COUNTIF('Test Smartphone'!B2:B274,D27)</f>
        <v>6</v>
      </c>
      <c r="F27" s="8">
        <f>COUNTIFS('Test Smartphone'!B2:B274,D27,'Test Smartphone'!H2:H274,"PASS")</f>
        <v>0</v>
      </c>
      <c r="G27" s="8">
        <f>COUNTIFS('Test Smartphone'!B2:B274,D27,'Test Smartphone'!H2:H274,"FAIL")</f>
        <v>0</v>
      </c>
    </row>
    <row r="28" spans="4:7" x14ac:dyDescent="0.25">
      <c r="D28" s="8" t="s">
        <v>1200</v>
      </c>
      <c r="E28" s="8">
        <f>COUNTIF('Test Smartphone'!B2:B274,D28)</f>
        <v>5</v>
      </c>
      <c r="F28" s="8">
        <f>COUNTIFS('Test Smartphone'!B2:B274,D28,'Test Smartphone'!H2:H274,"PASS")</f>
        <v>0</v>
      </c>
      <c r="G28" s="8">
        <f>COUNTIFS('Test Smartphone'!B2:B274,D28,'Test Smartphone'!H2:H274,"FAIL")</f>
        <v>0</v>
      </c>
    </row>
    <row r="29" spans="4:7" x14ac:dyDescent="0.25">
      <c r="D29" s="8" t="s">
        <v>1225</v>
      </c>
      <c r="E29" s="8">
        <f>COUNTIF('Test Smartphone'!B2:B274,D29)</f>
        <v>3</v>
      </c>
      <c r="F29" s="8">
        <f>COUNTIFS('Test Smartphone'!B2:B274,D29,'Test Smartphone'!H2:H274,"PASS")</f>
        <v>0</v>
      </c>
      <c r="G29" s="8">
        <f>COUNTIFS('Test Smartphone'!B2:B274,D29,'Test Smartphone'!H2:H274,"FAIL")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5" x14ac:dyDescent="0.25"/>
  <cols>
    <col min="1" max="1" width="16" customWidth="1"/>
    <col min="2" max="2" width="48" customWidth="1"/>
  </cols>
  <sheetData>
    <row r="1" spans="1:2" x14ac:dyDescent="0.25">
      <c r="A1" s="7" t="s">
        <v>1255</v>
      </c>
      <c r="B1" s="7" t="s">
        <v>1256</v>
      </c>
    </row>
    <row r="2" spans="1:2" x14ac:dyDescent="0.25">
      <c r="A2" s="8" t="s">
        <v>13</v>
      </c>
      <c r="B2" s="8" t="s">
        <v>1257</v>
      </c>
    </row>
    <row r="3" spans="1:2" x14ac:dyDescent="0.25">
      <c r="A3" s="8" t="s">
        <v>79</v>
      </c>
      <c r="B3" s="8" t="s">
        <v>1258</v>
      </c>
    </row>
    <row r="4" spans="1:2" x14ac:dyDescent="0.25">
      <c r="A4" s="8" t="s">
        <v>156</v>
      </c>
      <c r="B4" s="8" t="s">
        <v>1259</v>
      </c>
    </row>
    <row r="5" spans="1:2" x14ac:dyDescent="0.25">
      <c r="A5" s="8" t="s">
        <v>195</v>
      </c>
      <c r="B5" s="8" t="s">
        <v>1260</v>
      </c>
    </row>
    <row r="6" spans="1:2" x14ac:dyDescent="0.25">
      <c r="A6" s="8" t="s">
        <v>292</v>
      </c>
      <c r="B6" s="8" t="s">
        <v>1261</v>
      </c>
    </row>
    <row r="7" spans="1:2" x14ac:dyDescent="0.25">
      <c r="A7" s="8" t="s">
        <v>337</v>
      </c>
      <c r="B7" s="8" t="s">
        <v>1262</v>
      </c>
    </row>
    <row r="8" spans="1:2" x14ac:dyDescent="0.25">
      <c r="A8" s="8" t="s">
        <v>436</v>
      </c>
      <c r="B8" s="8" t="s">
        <v>1263</v>
      </c>
    </row>
    <row r="9" spans="1:2" x14ac:dyDescent="0.25">
      <c r="A9" s="8" t="s">
        <v>530</v>
      </c>
      <c r="B9" s="8" t="s">
        <v>1264</v>
      </c>
    </row>
    <row r="10" spans="1:2" x14ac:dyDescent="0.25">
      <c r="A10" s="8" t="s">
        <v>565</v>
      </c>
      <c r="B10" s="8" t="s">
        <v>1265</v>
      </c>
    </row>
    <row r="11" spans="1:2" x14ac:dyDescent="0.25">
      <c r="A11" s="8" t="s">
        <v>607</v>
      </c>
      <c r="B11" s="8" t="s">
        <v>1266</v>
      </c>
    </row>
    <row r="12" spans="1:2" x14ac:dyDescent="0.25">
      <c r="A12" s="8" t="s">
        <v>665</v>
      </c>
      <c r="B12" s="8" t="s">
        <v>1267</v>
      </c>
    </row>
    <row r="13" spans="1:2" x14ac:dyDescent="0.25">
      <c r="A13" s="8" t="s">
        <v>733</v>
      </c>
      <c r="B13" s="8" t="s">
        <v>1268</v>
      </c>
    </row>
    <row r="14" spans="1:2" x14ac:dyDescent="0.25">
      <c r="A14" s="8" t="s">
        <v>751</v>
      </c>
      <c r="B14" s="8" t="s">
        <v>1269</v>
      </c>
    </row>
    <row r="15" spans="1:2" x14ac:dyDescent="0.25">
      <c r="A15" s="8" t="s">
        <v>775</v>
      </c>
      <c r="B15" s="8" t="s">
        <v>1270</v>
      </c>
    </row>
    <row r="16" spans="1:2" x14ac:dyDescent="0.25">
      <c r="A16" s="8" t="s">
        <v>802</v>
      </c>
      <c r="B16" s="8" t="s">
        <v>1271</v>
      </c>
    </row>
    <row r="17" spans="1:2" x14ac:dyDescent="0.25">
      <c r="A17" s="8" t="s">
        <v>831</v>
      </c>
      <c r="B17" s="8" t="s">
        <v>1272</v>
      </c>
    </row>
    <row r="18" spans="1:2" x14ac:dyDescent="0.25">
      <c r="A18" s="8" t="s">
        <v>889</v>
      </c>
      <c r="B18" s="8" t="s">
        <v>1273</v>
      </c>
    </row>
    <row r="19" spans="1:2" x14ac:dyDescent="0.25">
      <c r="A19" s="8" t="s">
        <v>924</v>
      </c>
      <c r="B19" s="8" t="s">
        <v>1274</v>
      </c>
    </row>
    <row r="20" spans="1:2" x14ac:dyDescent="0.25">
      <c r="A20" s="8" t="s">
        <v>937</v>
      </c>
      <c r="B20" s="8" t="s">
        <v>1275</v>
      </c>
    </row>
    <row r="21" spans="1:2" x14ac:dyDescent="0.25">
      <c r="A21" s="8" t="s">
        <v>260</v>
      </c>
      <c r="B21" s="8" t="s">
        <v>1276</v>
      </c>
    </row>
    <row r="22" spans="1:2" x14ac:dyDescent="0.25">
      <c r="A22" s="8" t="s">
        <v>992</v>
      </c>
      <c r="B22" s="8" t="s">
        <v>1277</v>
      </c>
    </row>
    <row r="23" spans="1:2" x14ac:dyDescent="0.25">
      <c r="A23" s="8" t="s">
        <v>1024</v>
      </c>
      <c r="B23" s="8" t="s">
        <v>1278</v>
      </c>
    </row>
    <row r="24" spans="1:2" x14ac:dyDescent="0.25">
      <c r="A24" s="8" t="s">
        <v>1049</v>
      </c>
      <c r="B24" s="8" t="s">
        <v>1279</v>
      </c>
    </row>
    <row r="25" spans="1:2" x14ac:dyDescent="0.25">
      <c r="A25" s="8" t="s">
        <v>1070</v>
      </c>
      <c r="B25" s="8" t="s">
        <v>1280</v>
      </c>
    </row>
    <row r="26" spans="1:2" x14ac:dyDescent="0.25">
      <c r="A26" s="8" t="s">
        <v>1139</v>
      </c>
      <c r="B26" s="8" t="s">
        <v>1281</v>
      </c>
    </row>
    <row r="27" spans="1:2" x14ac:dyDescent="0.25">
      <c r="A27" s="8" t="s">
        <v>1169</v>
      </c>
      <c r="B27" s="8" t="s">
        <v>1282</v>
      </c>
    </row>
    <row r="28" spans="1:2" x14ac:dyDescent="0.25">
      <c r="A28" s="8" t="s">
        <v>1200</v>
      </c>
      <c r="B28" s="8" t="s">
        <v>1283</v>
      </c>
    </row>
    <row r="29" spans="1:2" x14ac:dyDescent="0.25">
      <c r="A29" s="8" t="s">
        <v>1225</v>
      </c>
      <c r="B29" s="8" t="s">
        <v>1284</v>
      </c>
    </row>
    <row r="30" spans="1:2" x14ac:dyDescent="0.25">
      <c r="A30" s="8"/>
      <c r="B30" s="8"/>
    </row>
    <row r="31" spans="1:2" x14ac:dyDescent="0.25">
      <c r="A31" s="7" t="s">
        <v>1285</v>
      </c>
      <c r="B31" s="7" t="s">
        <v>1256</v>
      </c>
    </row>
    <row r="32" spans="1:2" x14ac:dyDescent="0.25">
      <c r="A32" s="8" t="s">
        <v>18</v>
      </c>
      <c r="B32" s="8" t="s">
        <v>1286</v>
      </c>
    </row>
    <row r="33" spans="1:2" x14ac:dyDescent="0.25">
      <c r="A33" s="8" t="s">
        <v>31</v>
      </c>
      <c r="B33" s="8" t="s">
        <v>1287</v>
      </c>
    </row>
    <row r="34" spans="1:2" x14ac:dyDescent="0.25">
      <c r="A34" s="8" t="s">
        <v>77</v>
      </c>
      <c r="B34" s="8" t="s">
        <v>1288</v>
      </c>
    </row>
    <row r="35" spans="1:2" x14ac:dyDescent="0.25">
      <c r="A35" s="8"/>
      <c r="B35" s="8"/>
    </row>
    <row r="36" spans="1:2" x14ac:dyDescent="0.25">
      <c r="A36" s="7" t="s">
        <v>6</v>
      </c>
      <c r="B36" s="7" t="s">
        <v>1256</v>
      </c>
    </row>
    <row r="37" spans="1:2" x14ac:dyDescent="0.25">
      <c r="A37" s="8" t="s">
        <v>1248</v>
      </c>
      <c r="B37" s="8" t="s">
        <v>1289</v>
      </c>
    </row>
    <row r="38" spans="1:2" x14ac:dyDescent="0.25">
      <c r="A38" s="8" t="s">
        <v>1249</v>
      </c>
      <c r="B38" s="8" t="s">
        <v>1290</v>
      </c>
    </row>
    <row r="39" spans="1:2" x14ac:dyDescent="0.25">
      <c r="A39" s="8" t="s">
        <v>1250</v>
      </c>
      <c r="B39" s="8" t="s">
        <v>1291</v>
      </c>
    </row>
    <row r="40" spans="1:2" x14ac:dyDescent="0.25">
      <c r="A40" s="8" t="s">
        <v>1251</v>
      </c>
      <c r="B40" s="8" t="s">
        <v>1292</v>
      </c>
    </row>
    <row r="41" spans="1:2" x14ac:dyDescent="0.25">
      <c r="A41" s="8" t="s">
        <v>1293</v>
      </c>
      <c r="B41" s="8" t="s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Test Smartphone</vt:lpstr>
      <vt:lpstr>Riepilogo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Degrassi</cp:lastModifiedBy>
  <dcterms:created xsi:type="dcterms:W3CDTF">2026-03-14T07:46:38Z</dcterms:created>
  <dcterms:modified xsi:type="dcterms:W3CDTF">2026-03-14T08:27:21Z</dcterms:modified>
</cp:coreProperties>
</file>